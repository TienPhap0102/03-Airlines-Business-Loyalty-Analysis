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otal flight by distance " sheetId="2" r:id="rId6"/>
    <sheet state="visible" name="Trang tính3" sheetId="3" r:id="rId7"/>
    <sheet state="visible" name="NHÂN KHẨU HỌC" sheetId="4" r:id="rId8"/>
    <sheet state="visible" name="OVERVIEW OF CARDTYPE" sheetId="5" r:id="rId9"/>
    <sheet state="visible" name="Card_type" sheetId="6" r:id="rId10"/>
    <sheet state="visible" name="retention rate" sheetId="7" r:id="rId11"/>
  </sheets>
  <definedNames/>
  <calcPr/>
  <pivotCaches>
    <pivotCache cacheId="0" r:id="rId12"/>
    <pivotCache cacheId="1" r:id="rId13"/>
    <pivotCache cacheId="2" r:id="rId14"/>
    <pivotCache cacheId="3" r:id="rId15"/>
    <pivotCache cacheId="4" r:id="rId16"/>
    <pivotCache cacheId="5" r:id="rId17"/>
  </pivotCaches>
</workbook>
</file>

<file path=xl/sharedStrings.xml><?xml version="1.0" encoding="utf-8"?>
<sst xmlns="http://schemas.openxmlformats.org/spreadsheetml/2006/main" count="407" uniqueCount="74">
  <si>
    <t>KEY PERFORMANCE METRICS</t>
  </si>
  <si>
    <t>1. Total Customer - Total flight - Avg flight/ customer</t>
  </si>
  <si>
    <t>Time</t>
  </si>
  <si>
    <t>Total customer</t>
  </si>
  <si>
    <t>Total flight</t>
  </si>
  <si>
    <t>Average_flight_per_customer</t>
  </si>
  <si>
    <t>Flight per customer</t>
  </si>
  <si>
    <t>SUM of Total customer</t>
  </si>
  <si>
    <t>Distance range</t>
  </si>
  <si>
    <t>Total flights</t>
  </si>
  <si>
    <t>1 - 5.000 Km</t>
  </si>
  <si>
    <t>5.001 - 15.00 Km</t>
  </si>
  <si>
    <t>15.001 - 30.000 Km</t>
  </si>
  <si>
    <t>30.001 - 50.000 Km</t>
  </si>
  <si>
    <t>50.000+ Km</t>
  </si>
  <si>
    <t>Total_customers</t>
  </si>
  <si>
    <t>Total_flights</t>
  </si>
  <si>
    <t>Flight_per_customers</t>
  </si>
  <si>
    <t>Average_distance</t>
  </si>
  <si>
    <t>Average_redeem</t>
  </si>
  <si>
    <t>Total_cost_Redeem</t>
  </si>
  <si>
    <t>Cost_per_flight</t>
  </si>
  <si>
    <t>Previous_month</t>
  </si>
  <si>
    <t>MOM_growth</t>
  </si>
  <si>
    <t>MOM growth</t>
  </si>
  <si>
    <t>NULL</t>
  </si>
  <si>
    <t>Average redeem</t>
  </si>
  <si>
    <t>Cost per flight</t>
  </si>
  <si>
    <t>tier</t>
  </si>
  <si>
    <t>Male</t>
  </si>
  <si>
    <t>Female</t>
  </si>
  <si>
    <t>Married</t>
  </si>
  <si>
    <t>Single</t>
  </si>
  <si>
    <t>Divorced</t>
  </si>
  <si>
    <t>Bachelor</t>
  </si>
  <si>
    <t>College</t>
  </si>
  <si>
    <t>Doctor</t>
  </si>
  <si>
    <t>High school or less</t>
  </si>
  <si>
    <t>Master</t>
  </si>
  <si>
    <t>Nova</t>
  </si>
  <si>
    <t>Star</t>
  </si>
  <si>
    <t>Aurora</t>
  </si>
  <si>
    <t>SUM of Female</t>
  </si>
  <si>
    <t>SUM of Male</t>
  </si>
  <si>
    <t>SUM of Married</t>
  </si>
  <si>
    <t>SUM of Divorced</t>
  </si>
  <si>
    <t>SUM of Single</t>
  </si>
  <si>
    <t>Grand Total</t>
  </si>
  <si>
    <t>SUM of Bachelor</t>
  </si>
  <si>
    <t>SUM of College</t>
  </si>
  <si>
    <t>SUM of Doctor</t>
  </si>
  <si>
    <t>SUM of High school or less</t>
  </si>
  <si>
    <t>SUM of Master</t>
  </si>
  <si>
    <t>Loyalty Card</t>
  </si>
  <si>
    <t>Average salary</t>
  </si>
  <si>
    <t>Average point accumulated</t>
  </si>
  <si>
    <t>Average CLV</t>
  </si>
  <si>
    <t>Loyalty_Card</t>
  </si>
  <si>
    <t>Total_point_acc</t>
  </si>
  <si>
    <t>Total_point_redeemed</t>
  </si>
  <si>
    <t>Total_cost_redeemed</t>
  </si>
  <si>
    <t>MAX of Total_customers</t>
  </si>
  <si>
    <t>SUM of Total_flights</t>
  </si>
  <si>
    <t>SUM of Total_customers</t>
  </si>
  <si>
    <t>enrollment_Type</t>
  </si>
  <si>
    <t>Total customers</t>
  </si>
  <si>
    <t>Active customers</t>
  </si>
  <si>
    <t>Retention_rate</t>
  </si>
  <si>
    <t>Avg_CLV</t>
  </si>
  <si>
    <t>Avg_flight_per_customer</t>
  </si>
  <si>
    <t>2018 Promotion</t>
  </si>
  <si>
    <t>Standard</t>
  </si>
  <si>
    <t>Enrollment_Year</t>
  </si>
  <si>
    <t>active_customers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</si>
</sst>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&lt;999950]0.0,&quot;K&quot;;[&lt;999950000]0.0,,&quot;M&quot;;0.0,,,&quot;B&quot;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2" xfId="0" applyAlignment="1" applyBorder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2" xfId="0" applyFont="1" applyNumberFormat="1"/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0" fillId="0" fontId="2" numFmtId="10" xfId="0" applyFont="1" applyNumberFormat="1"/>
    <xf borderId="0" fillId="0" fontId="1" numFmtId="0" xfId="0" applyFont="1"/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10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6.xml"/><Relationship Id="rId16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flight and Average Flight per customer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Sheet1!$G$4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1"/>
          </c:dPt>
          <c:dPt>
            <c:idx val="9"/>
          </c:dPt>
          <c:dPt>
            <c:idx val="12"/>
          </c:dPt>
          <c:dPt>
            <c:idx val="13"/>
          </c:dPt>
          <c:dPt>
            <c:idx val="15"/>
          </c:dPt>
          <c:dPt>
            <c:idx val="20"/>
          </c:dPt>
          <c:dPt>
            <c:idx val="22"/>
          </c:dPt>
          <c:dLbls>
            <c:dLbl>
              <c:idx val="1"/>
              <c:layout>
                <c:manualLayout>
                  <c:xMode val="edge"/>
                  <c:yMode val="edge"/>
                  <c:x val="0.04997332573342456"/>
                  <c:y val="0.722446577309134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Mode val="edge"/>
                  <c:yMode val="edge"/>
                  <c:x val="0.37557602872577095"/>
                  <c:y val="0.650346266155419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>
                <c:manualLayout>
                  <c:xMode val="edge"/>
                  <c:yMode val="edge"/>
                  <c:x val="0.5006918821904226"/>
                  <c:y val="0.702922821923994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>
                <c:manualLayout>
                  <c:xMode val="edge"/>
                  <c:yMode val="edge"/>
                  <c:x val="0.6243003157338133"/>
                  <c:y val="0.650472199616564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layout>
                <c:manualLayout>
                  <c:xMode val="edge"/>
                  <c:yMode val="edge"/>
                  <c:x val="0.8323242648678123"/>
                  <c:y val="0.505796577309134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layout>
                <c:manualLayout>
                  <c:xMode val="edge"/>
                  <c:yMode val="edge"/>
                  <c:x val="0.912217520694638"/>
                  <c:y val="0.57512095500170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Sheet1!$F$5:$F$28</c:f>
            </c:strRef>
          </c:cat>
          <c:val>
            <c:numRef>
              <c:f>Sheet1!$G$5:$G$28</c:f>
              <c:numCache/>
            </c:numRef>
          </c:val>
        </c:ser>
        <c:axId val="1960830395"/>
        <c:axId val="475255337"/>
      </c:barChart>
      <c:catAx>
        <c:axId val="1960830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255337"/>
      </c:catAx>
      <c:valAx>
        <c:axId val="47525533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830395"/>
      </c:valAx>
      <c:lineChart>
        <c:varyColors val="0"/>
        <c:ser>
          <c:idx val="1"/>
          <c:order val="1"/>
          <c:tx>
            <c:strRef>
              <c:f>Sheet1!$H$4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Sheet1!$F$5:$F$28</c:f>
            </c:strRef>
          </c:cat>
          <c:val>
            <c:numRef>
              <c:f>Sheet1!$H$5:$H$28</c:f>
              <c:numCache/>
            </c:numRef>
          </c:val>
          <c:smooth val="0"/>
        </c:ser>
        <c:axId val="810628876"/>
        <c:axId val="361185691"/>
      </c:lineChart>
      <c:catAx>
        <c:axId val="8106288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185691"/>
      </c:catAx>
      <c:valAx>
        <c:axId val="3611856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6288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của Total customer and Total flight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Sheet1!$G$32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Sheet1!$F$33:$F$56</c:f>
            </c:strRef>
          </c:cat>
          <c:val>
            <c:numRef>
              <c:f>Sheet1!$G$33:$G$56</c:f>
              <c:numCache/>
            </c:numRef>
          </c:val>
          <c:smooth val="0"/>
        </c:ser>
        <c:axId val="1766395663"/>
        <c:axId val="1182348740"/>
      </c:lineChart>
      <c:catAx>
        <c:axId val="1766395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348740"/>
      </c:catAx>
      <c:valAx>
        <c:axId val="118234874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395663"/>
      </c:valAx>
      <c:barChart>
        <c:barDir val="col"/>
        <c:ser>
          <c:idx val="1"/>
          <c:order val="1"/>
          <c:tx>
            <c:strRef>
              <c:f>Sheet1!$H$32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Sheet1!$F$33:$F$56</c:f>
            </c:strRef>
          </c:cat>
          <c:val>
            <c:numRef>
              <c:f>Sheet1!$H$33:$H$56</c:f>
              <c:numCache/>
            </c:numRef>
          </c:val>
        </c:ser>
        <c:axId val="1512575176"/>
        <c:axId val="351135696"/>
      </c:barChart>
      <c:catAx>
        <c:axId val="1512575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135696"/>
      </c:catAx>
      <c:valAx>
        <c:axId val="3511356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5751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TOTAL FLIGHTS BY DISTANCE RANGE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flight by distance 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dLbl>
              <c:idx val="0"/>
              <c:layout>
                <c:manualLayout>
                  <c:xMode val="edge"/>
                  <c:yMode val="edge"/>
                  <c:x val="0.08796011822622311"/>
                  <c:y val="0.0365909095197660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276150440391882"/>
                  <c:y val="0.2011818926313803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 flight by distance '!$B$5:$B$9</c:f>
            </c:strRef>
          </c:cat>
          <c:val>
            <c:numRef>
              <c:f>'Total flight by distance '!$C$5:$C$9</c:f>
              <c:numCache/>
            </c:numRef>
          </c:val>
        </c:ser>
        <c:axId val="1617573501"/>
        <c:axId val="1443807947"/>
      </c:barChart>
      <c:catAx>
        <c:axId val="1617573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807947"/>
      </c:catAx>
      <c:valAx>
        <c:axId val="144380794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flights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573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TOTAL FLIGHTS AND MOM GROWTH</a:t>
            </a:r>
          </a:p>
        </c:rich>
      </c:tx>
      <c:layout>
        <c:manualLayout>
          <c:xMode val="edge"/>
          <c:yMode val="edge"/>
          <c:x val="0.021007927519818802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'Trang tính3'!$M$2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'Trang tính3'!$L$3:$L$26</c:f>
            </c:strRef>
          </c:cat>
          <c:val>
            <c:numRef>
              <c:f>'Trang tính3'!$M$3:$M$26</c:f>
              <c:numCache/>
            </c:numRef>
          </c:val>
        </c:ser>
        <c:axId val="1943254372"/>
        <c:axId val="2044333521"/>
      </c:barChart>
      <c:catAx>
        <c:axId val="1943254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333521"/>
      </c:catAx>
      <c:valAx>
        <c:axId val="204433352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254372"/>
      </c:valAx>
      <c:lineChart>
        <c:varyColors val="0"/>
        <c:ser>
          <c:idx val="1"/>
          <c:order val="1"/>
          <c:tx>
            <c:strRef>
              <c:f>'Trang tính3'!$N$2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'Trang tính3'!$L$3:$L$26</c:f>
            </c:strRef>
          </c:cat>
          <c:val>
            <c:numRef>
              <c:f>'Trang tính3'!$N$3:$N$26</c:f>
              <c:numCache/>
            </c:numRef>
          </c:val>
          <c:smooth val="0"/>
        </c:ser>
        <c:axId val="148796994"/>
        <c:axId val="1812526777"/>
      </c:lineChart>
      <c:catAx>
        <c:axId val="1487969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526777"/>
      </c:catAx>
      <c:valAx>
        <c:axId val="181252677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969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redeem and Cost per flight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'Trang tính3'!$M$30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'Trang tính3'!$L$31:$L$54</c:f>
            </c:strRef>
          </c:cat>
          <c:val>
            <c:numRef>
              <c:f>'Trang tính3'!$M$31:$M$54</c:f>
              <c:numCache/>
            </c:numRef>
          </c:val>
        </c:ser>
        <c:axId val="1831371976"/>
        <c:axId val="1968514981"/>
      </c:barChart>
      <c:lineChart>
        <c:varyColors val="0"/>
        <c:ser>
          <c:idx val="1"/>
          <c:order val="1"/>
          <c:tx>
            <c:strRef>
              <c:f>'Trang tính3'!$N$30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'Trang tính3'!$L$31:$L$54</c:f>
            </c:strRef>
          </c:cat>
          <c:val>
            <c:numRef>
              <c:f>'Trang tính3'!$N$31:$N$54</c:f>
              <c:numCache/>
            </c:numRef>
          </c:val>
          <c:smooth val="0"/>
        </c:ser>
        <c:axId val="1831371976"/>
        <c:axId val="1968514981"/>
      </c:lineChart>
      <c:catAx>
        <c:axId val="1831371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514981"/>
      </c:catAx>
      <c:valAx>
        <c:axId val="1968514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371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AVERAGE SALARY BY CARD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'OVERVIEW OF CARDTYPE'!$G$3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layout>
                <c:manualLayout>
                  <c:xMode val="edge"/>
                  <c:yMode val="edge"/>
                  <c:x val="0.16353052843638619"/>
                  <c:y val="0.1499468040847200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4650337052533705"/>
                  <c:y val="0.15589680408472006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7645533085386642"/>
                  <c:y val="0.181107148260211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'OVERVIEW OF CARDTYPE'!$F$4:$F$6</c:f>
            </c:strRef>
          </c:cat>
          <c:val>
            <c:numRef>
              <c:f>'OVERVIEW OF CARDTYPE'!$G$4:$G$6</c:f>
              <c:numCache/>
            </c:numRef>
          </c:val>
        </c:ser>
        <c:axId val="1101128991"/>
        <c:axId val="1550194152"/>
      </c:barChart>
      <c:catAx>
        <c:axId val="1101128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Loyalty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194152"/>
      </c:catAx>
      <c:valAx>
        <c:axId val="155019415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Average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128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AVERAGE POINT ACCUMULATED BY CARD TYPE </a:t>
            </a:r>
          </a:p>
        </c:rich>
      </c:tx>
      <c:layout>
        <c:manualLayout>
          <c:xMode val="edge"/>
          <c:yMode val="edge"/>
          <c:x val="0.0262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'OVERVIEW OF CARDTYPE'!$G$20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layout>
                <c:manualLayout>
                  <c:xMode val="edge"/>
                  <c:yMode val="edge"/>
                  <c:x val="0.17944832870414712"/>
                  <c:y val="0.07888292636835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48151901158892824"/>
                  <c:y val="0.07669813385284639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7796666985920889"/>
                  <c:y val="0.091536678229930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'OVERVIEW OF CARDTYPE'!$F$21:$F$23</c:f>
            </c:strRef>
          </c:cat>
          <c:val>
            <c:numRef>
              <c:f>'OVERVIEW OF CARDTYPE'!$G$21:$G$23</c:f>
              <c:numCache/>
            </c:numRef>
          </c:val>
        </c:ser>
        <c:axId val="1607907646"/>
        <c:axId val="1673527579"/>
      </c:barChart>
      <c:catAx>
        <c:axId val="1607907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Loyalty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527579"/>
      </c:catAx>
      <c:valAx>
        <c:axId val="167352757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point accumulated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907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AVERAGE CLV BY CARD TYPE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'OVERVIEW OF CARDTYPE'!$G$34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layout>
                <c:manualLayout>
                  <c:xMode val="edge"/>
                  <c:yMode val="edge"/>
                  <c:x val="0.17344411740786847"/>
                  <c:y val="0.0443127204599265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4764607952306181"/>
                  <c:y val="0.2526893282178521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7787385128837119"/>
                  <c:y val="0.37843442230398056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'OVERVIEW OF CARDTYPE'!$F$35:$F$37</c:f>
            </c:strRef>
          </c:cat>
          <c:val>
            <c:numRef>
              <c:f>'OVERVIEW OF CARDTYPE'!$G$35:$G$37</c:f>
              <c:numCache/>
            </c:numRef>
          </c:val>
        </c:ser>
        <c:axId val="1758634436"/>
        <c:axId val="1841270869"/>
      </c:barChart>
      <c:catAx>
        <c:axId val="1758634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Loyalty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270869"/>
      </c:catAx>
      <c:valAx>
        <c:axId val="184127086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CLV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634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Aurora, Nova and Star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Card_type!$N$7:$N$8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Card_type!$M$9:$M$32</c:f>
            </c:strRef>
          </c:cat>
          <c:val>
            <c:numRef>
              <c:f>Card_type!$N$9:$N$32</c:f>
              <c:numCache/>
            </c:numRef>
          </c:val>
          <c:smooth val="0"/>
        </c:ser>
        <c:ser>
          <c:idx val="1"/>
          <c:order val="1"/>
          <c:tx>
            <c:strRef>
              <c:f>Card_type!$O$7:$O$8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Card_type!$M$9:$M$32</c:f>
            </c:strRef>
          </c:cat>
          <c:val>
            <c:numRef>
              <c:f>Card_type!$O$9:$O$32</c:f>
              <c:numCache/>
            </c:numRef>
          </c:val>
          <c:smooth val="0"/>
        </c:ser>
        <c:ser>
          <c:idx val="2"/>
          <c:order val="2"/>
          <c:tx>
            <c:strRef>
              <c:f>Card_type!$P$7:$P$8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Card_type!$M$9:$M$32</c:f>
            </c:strRef>
          </c:cat>
          <c:val>
            <c:numRef>
              <c:f>Card_type!$P$9:$P$32</c:f>
              <c:numCache/>
            </c:numRef>
          </c:val>
          <c:smooth val="0"/>
        </c:ser>
        <c:axId val="1040854191"/>
        <c:axId val="1043641357"/>
      </c:lineChart>
      <c:catAx>
        <c:axId val="104085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641357"/>
      </c:catAx>
      <c:valAx>
        <c:axId val="1043641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854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Retention Rate by Standard Overtime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'retention rate'!$J$7</c:f>
            </c:strRef>
          </c:tx>
          <c:spPr>
            <a:ln cmpd="sng">
              <a:solidFill>
                <a:srgbClr val="C27BA0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C27BA0">
                  <a:alpha val="100000"/>
                </a:srgbClr>
              </a:solidFill>
              <a:ln cmpd="sng">
                <a:solidFill>
                  <a:srgbClr val="C27BA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'retention rate'!$I$8:$I$14</c:f>
            </c:strRef>
          </c:cat>
          <c:val>
            <c:numRef>
              <c:f>'retention rate'!$J$8:$J$14</c:f>
              <c:numCache/>
            </c:numRef>
          </c:val>
          <c:smooth val="0"/>
        </c:ser>
        <c:axId val="1759166975"/>
        <c:axId val="970779987"/>
      </c:lineChart>
      <c:catAx>
        <c:axId val="1759166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Enrollment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779987"/>
      </c:catAx>
      <c:valAx>
        <c:axId val="97077998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Retention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1669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4</xdr:row>
      <xdr:rowOff>123825</xdr:rowOff>
    </xdr:from>
    <xdr:ext cx="5600700" cy="2762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161925</xdr:rowOff>
    </xdr:from>
    <xdr:ext cx="5514975" cy="3409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1</xdr:row>
      <xdr:rowOff>161925</xdr:rowOff>
    </xdr:from>
    <xdr:ext cx="71628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552450</xdr:colOff>
      <xdr:row>2</xdr:row>
      <xdr:rowOff>209550</xdr:rowOff>
    </xdr:from>
    <xdr:ext cx="103441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133350</xdr:colOff>
      <xdr:row>30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809625</xdr:colOff>
      <xdr:row>0</xdr:row>
      <xdr:rowOff>161925</xdr:rowOff>
    </xdr:from>
    <xdr:ext cx="5762625" cy="3190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838200</xdr:colOff>
      <xdr:row>17</xdr:row>
      <xdr:rowOff>180975</xdr:rowOff>
    </xdr:from>
    <xdr:ext cx="5715000" cy="28098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838200</xdr:colOff>
      <xdr:row>32</xdr:row>
      <xdr:rowOff>38100</xdr:rowOff>
    </xdr:from>
    <xdr:ext cx="5715000" cy="3152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714375</xdr:colOff>
      <xdr:row>0</xdr:row>
      <xdr:rowOff>0</xdr:rowOff>
    </xdr:from>
    <xdr:ext cx="4448175" cy="27527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27</xdr:row>
      <xdr:rowOff>66675</xdr:rowOff>
    </xdr:from>
    <xdr:ext cx="6600825" cy="37814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D28" sheet="Sheet1"/>
  </cacheSource>
  <cacheFields>
    <cacheField name="Time" numFmtId="164">
      <sharedItems containsSemiMixedTypes="0" containsDate="1" containsString="0">
        <d v="2017-01-01T00:00:00Z"/>
        <d v="2017-02-01T00:00:00Z"/>
        <d v="2017-03-01T00:00:00Z"/>
        <d v="2017-04-01T00:00:00Z"/>
        <d v="2017-05-01T00:00:00Z"/>
        <d v="2017-06-01T00:00:00Z"/>
        <d v="2017-07-01T00:00:00Z"/>
        <d v="2017-08-01T00:00:00Z"/>
        <d v="2017-09-01T00:00:00Z"/>
        <d v="2017-10-01T00:00:00Z"/>
        <d v="2017-11-01T00:00:00Z"/>
        <d v="2017-12-01T00:00:00Z"/>
        <d v="2018-01-01T00:00:00Z"/>
        <d v="2018-02-01T00:00:00Z"/>
        <d v="2018-03-01T00:00:00Z"/>
        <d v="2018-04-01T00:00:00Z"/>
        <d v="2018-05-01T00:00:00Z"/>
        <d v="2018-06-01T00:00:00Z"/>
        <d v="2018-07-01T00:00:00Z"/>
        <d v="2018-08-01T00:00:00Z"/>
        <d v="2018-09-01T00:00:00Z"/>
        <d v="2018-10-01T00:00:00Z"/>
        <d v="2018-11-01T00:00:00Z"/>
        <d v="2018-12-01T00:00:00Z"/>
      </sharedItems>
    </cacheField>
    <cacheField name="Total customer" numFmtId="165">
      <sharedItems containsSemiMixedTypes="0" containsString="0" containsNumber="1" containsInteger="1">
        <n v="15766.0"/>
        <n v="16737.0"/>
      </sharedItems>
    </cacheField>
    <cacheField name="Total flight" numFmtId="165">
      <sharedItems containsSemiMixedTypes="0" containsString="0" containsNumber="1" containsInteger="1">
        <n v="13059.0"/>
        <n v="13368.0"/>
        <n v="18391.0"/>
        <n v="15449.0"/>
        <n v="18690.0"/>
        <n v="23504.0"/>
        <n v="26312.0"/>
        <n v="22976.0"/>
        <n v="17439.0"/>
        <n v="16458.0"/>
        <n v="15745.0"/>
        <n v="21871.0"/>
        <n v="13325.0"/>
        <n v="13540.0"/>
        <n v="19657.0"/>
        <n v="15835.0"/>
        <n v="27345.0"/>
        <n v="33840.0"/>
        <n v="37936.0"/>
        <n v="32808.0"/>
        <n v="22034.0"/>
        <n v="20696.0"/>
        <n v="19673.0"/>
        <n v="28857.0"/>
      </sharedItems>
    </cacheField>
    <cacheField name="Average_flight_per_customer" numFmtId="2">
      <sharedItems containsSemiMixedTypes="0" containsString="0" containsNumber="1">
        <n v="0.8283014080933"/>
        <n v="0.8479005454776"/>
        <n v="1.1664975263224"/>
        <n v="0.9798934415831"/>
        <n v="1.1854623874159"/>
        <n v="1.490802993784"/>
        <n v="1.6689077762273"/>
        <n v="1.4573132056323"/>
        <n v="1.1061144234428"/>
        <n v="1.04389191932"/>
        <n v="0.9986680197894"/>
        <n v="1.3872256755042"/>
        <n v="0.8451731574273"/>
        <n v="0.8089860787476"/>
        <n v="1.1744637629204"/>
        <n v="0.9461074266594"/>
        <n v="1.633805341459"/>
        <n v="2.021867718229"/>
        <n v="2.2665949692298"/>
        <n v="1.9602079225667"/>
        <n v="1.3164844356814"/>
        <n v="1.2365417936308"/>
        <n v="1.1754197287446"/>
        <n v="1.72414411184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26" sheet="Trang tính3"/>
  </cacheSource>
  <cacheFields>
    <cacheField name="Time" numFmtId="164">
      <sharedItems containsSemiMixedTypes="0" containsDate="1" containsString="0">
        <d v="2017-01-01T00:00:00Z"/>
        <d v="2017-02-01T00:00:00Z"/>
        <d v="2017-03-01T00:00:00Z"/>
        <d v="2017-04-01T00:00:00Z"/>
        <d v="2017-05-01T00:00:00Z"/>
        <d v="2017-06-01T00:00:00Z"/>
        <d v="2017-07-01T00:00:00Z"/>
        <d v="2017-08-01T00:00:00Z"/>
        <d v="2017-09-01T00:00:00Z"/>
        <d v="2017-10-01T00:00:00Z"/>
        <d v="2017-11-01T00:00:00Z"/>
        <d v="2017-12-01T00:00:00Z"/>
        <d v="2018-01-01T00:00:00Z"/>
        <d v="2018-02-01T00:00:00Z"/>
        <d v="2018-03-01T00:00:00Z"/>
        <d v="2018-04-01T00:00:00Z"/>
        <d v="2018-05-01T00:00:00Z"/>
        <d v="2018-06-01T00:00:00Z"/>
        <d v="2018-07-01T00:00:00Z"/>
        <d v="2018-08-01T00:00:00Z"/>
        <d v="2018-09-01T00:00:00Z"/>
        <d v="2018-10-01T00:00:00Z"/>
        <d v="2018-11-01T00:00:00Z"/>
        <d v="2018-12-01T00:00:00Z"/>
      </sharedItems>
    </cacheField>
    <cacheField name="Total_customers" numFmtId="165">
      <sharedItems containsSemiMixedTypes="0" containsString="0" containsNumber="1" containsInteger="1">
        <n v="15766.0"/>
        <n v="16737.0"/>
      </sharedItems>
    </cacheField>
    <cacheField name="Total_flights" numFmtId="165">
      <sharedItems containsSemiMixedTypes="0" containsString="0" containsNumber="1" containsInteger="1">
        <n v="13059.0"/>
        <n v="13368.0"/>
        <n v="18391.0"/>
        <n v="15449.0"/>
        <n v="18690.0"/>
        <n v="23504.0"/>
        <n v="26312.0"/>
        <n v="22976.0"/>
        <n v="17439.0"/>
        <n v="16458.0"/>
        <n v="15745.0"/>
        <n v="21871.0"/>
        <n v="13325.0"/>
        <n v="13540.0"/>
        <n v="19657.0"/>
        <n v="15835.0"/>
        <n v="27345.0"/>
        <n v="33840.0"/>
        <n v="37936.0"/>
        <n v="32808.0"/>
        <n v="22034.0"/>
        <n v="20696.0"/>
        <n v="19673.0"/>
        <n v="28857.0"/>
      </sharedItems>
    </cacheField>
    <cacheField name="Flight_per_customers" numFmtId="2">
      <sharedItems containsSemiMixedTypes="0" containsString="0" containsNumber="1">
        <n v="0.8283014080933"/>
        <n v="0.8479005454776"/>
        <n v="1.1664975263224"/>
        <n v="0.9798934415831"/>
        <n v="1.1854623874159"/>
        <n v="1.490802993784"/>
        <n v="1.6689077762273"/>
        <n v="1.4573132056323"/>
        <n v="1.1061144234428"/>
        <n v="1.04389191932"/>
        <n v="0.9986680197894"/>
        <n v="1.3872256755042"/>
        <n v="0.8451731574273"/>
        <n v="0.8089860787476"/>
        <n v="1.1744637629204"/>
        <n v="0.9461074266594"/>
        <n v="1.633805341459"/>
        <n v="2.021867718229"/>
        <n v="2.2665949692298"/>
        <n v="1.9602079225667"/>
        <n v="1.3164844356814"/>
        <n v="1.2365417936308"/>
        <n v="1.1754197287446"/>
        <n v="1.724144111848"/>
      </sharedItems>
    </cacheField>
    <cacheField name="Average_distance" numFmtId="3">
      <sharedItems containsSemiMixedTypes="0" containsString="0" containsNumber="1" containsInteger="1">
        <n v="1241.0"/>
        <n v="1244.0"/>
        <n v="1724.0"/>
        <n v="1457.0"/>
        <n v="1745.0"/>
        <n v="2226.0"/>
        <n v="2464.0"/>
        <n v="2162.0"/>
        <n v="1637.0"/>
        <n v="1545.0"/>
        <n v="1492.0"/>
        <n v="2050.0"/>
        <n v="1255.0"/>
        <n v="1200.0"/>
        <n v="1754.0"/>
        <n v="1403.0"/>
        <n v="2420.0"/>
        <n v="2988.0"/>
        <n v="3393.0"/>
        <n v="2904.0"/>
        <n v="1971.0"/>
        <n v="1827.0"/>
        <n v="1739.0"/>
        <n v="2569.0"/>
      </sharedItems>
    </cacheField>
    <cacheField name="Average_redeem" numFmtId="2">
      <sharedItems containsSemiMixedTypes="0" containsString="0" containsNumber="1">
        <n v="26.9178344436786"/>
        <n v="26.7526929982046"/>
        <n v="24.2396280789516"/>
        <n v="27.0369603210563"/>
        <n v="25.058962011771"/>
        <n v="24.6072157930565"/>
        <n v="22.4101550623289"/>
        <n v="23.7422963091922"/>
        <n v="27.3897585870749"/>
        <n v="26.770202940819"/>
        <n v="26.1651317878691"/>
        <n v="25.1095057381921"/>
        <n v="32.2975609756097"/>
        <n v="31.3038404726735"/>
        <n v="27.2179376303606"/>
        <n v="30.7959583201768"/>
        <n v="20.4195282501371"/>
        <n v="19.6196217494089"/>
        <n v="18.3422079291438"/>
        <n v="19.9672336015605"/>
        <n v="24.8137877825179"/>
        <n v="25.1623018940858"/>
        <n v="25.3688303766583"/>
        <n v="22.5243788335585"/>
      </sharedItems>
    </cacheField>
    <cacheField name="Total_cost_Redeem" numFmtId="165">
      <sharedItems containsSemiMixedTypes="0" containsString="0" containsNumber="1" containsInteger="1">
        <n v="63293.0"/>
        <n v="64389.0"/>
        <n v="80246.0"/>
        <n v="75197.0"/>
        <n v="84306.0"/>
        <n v="104121.0"/>
        <n v="106155.0"/>
        <n v="98197.0"/>
        <n v="85987.0"/>
        <n v="79313.0"/>
        <n v="74182.0"/>
        <n v="98866.0"/>
        <n v="77481.0"/>
        <n v="76306.0"/>
        <n v="96324.0"/>
        <n v="87791.0"/>
        <n v="100530.0"/>
        <n v="119505.0"/>
        <n v="125280.0"/>
        <n v="117925.0"/>
        <n v="98439.0"/>
        <n v="93741.0"/>
        <n v="89844.0"/>
        <n v="117036.0"/>
      </sharedItems>
    </cacheField>
    <cacheField name="Cost_per_flight" numFmtId="2">
      <sharedItems containsSemiMixedTypes="0" containsString="0" containsNumber="1">
        <n v="4.84669576537254"/>
        <n v="4.81665170556552"/>
        <n v="4.36332988961992"/>
        <n v="4.867434785423"/>
        <n v="4.5107544141252"/>
        <n v="4.42992682096664"/>
        <n v="4.03447096381878"/>
        <n v="4.27389449860724"/>
        <n v="4.93072997304891"/>
        <n v="4.81911532385466"/>
        <n v="4.71146395681168"/>
        <n v="4.52041516162955"/>
        <n v="5.81470919324577"/>
        <n v="5.63559822747415"/>
        <n v="4.90023910057485"/>
        <n v="5.54411114619513"/>
        <n v="3.67635765222161"/>
        <n v="3.53147163120567"/>
        <n v="3.3024040489245"/>
        <n v="3.59439770787612"/>
        <n v="4.46759553417445"/>
        <n v="4.52942597603401"/>
        <n v="4.56686829665023"/>
        <n v="4.0557230481339"/>
      </sharedItems>
    </cacheField>
    <cacheField name="Previous_month">
      <sharedItems containsMixedTypes="1" containsNumber="1" containsInteger="1">
        <s v="NULL"/>
        <n v="13059.0"/>
        <n v="13368.0"/>
        <n v="18391.0"/>
        <n v="15449.0"/>
        <n v="18690.0"/>
        <n v="23504.0"/>
        <n v="26312.0"/>
        <n v="22976.0"/>
        <n v="17439.0"/>
        <n v="16458.0"/>
        <n v="15745.0"/>
        <n v="21871.0"/>
        <n v="13325.0"/>
        <n v="13540.0"/>
        <n v="19657.0"/>
        <n v="15835.0"/>
        <n v="27345.0"/>
        <n v="33840.0"/>
        <n v="37936.0"/>
        <n v="32808.0"/>
        <n v="22034.0"/>
        <n v="20696.0"/>
        <n v="19673.0"/>
      </sharedItems>
    </cacheField>
    <cacheField name="MOM_growth">
      <sharedItems containsMixedTypes="1" containsNumber="1">
        <s v="NULL"/>
        <n v="0.023661842407535"/>
        <n v="0.375748055056852"/>
        <n v="-0.159969550323527"/>
        <n v="0.209787041232442"/>
        <n v="0.257570893525949"/>
        <n v="0.119469026548672"/>
        <n v="-0.126786257221039"/>
        <n v="-0.240990598885793"/>
        <n v="-0.0562532255289867"/>
        <n v="-0.0433223964029651"/>
        <n v="0.389075897110193"/>
        <n v="-0.39074573636322"/>
        <n v="0.0161350844277673"/>
        <n v="0.451772525849335"/>
        <n v="-0.19443455257669"/>
        <n v="0.7268708556994"/>
        <n v="0.237520570488206"/>
        <n v="0.121040189125295"/>
        <n v="-0.135175031632222"/>
        <n v="-0.328395513289441"/>
        <n v="-0.0607243351184532"/>
        <n v="-0.0494298415152686"/>
        <n v="0.46683271488842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K5" sheet="NHÂN KHẨU HỌC"/>
  </cacheSource>
  <cacheFields>
    <cacheField name="tier" numFmtId="0">
      <sharedItems>
        <s v="Nova"/>
        <s v="Star"/>
        <s v="Aurora"/>
      </sharedItems>
    </cacheField>
    <cacheField name="Male" numFmtId="10">
      <sharedItems containsSemiMixedTypes="0" containsString="0" containsNumber="1">
        <n v="0.493636852482"/>
        <n v="0.50044810898"/>
        <n v="0.498476429467"/>
      </sharedItems>
    </cacheField>
    <cacheField name="Female" numFmtId="10">
      <sharedItems containsSemiMixedTypes="0" containsString="0" containsNumber="1">
        <n v="0.506363147517"/>
        <n v="0.499551891019"/>
        <n v="0.501523570532"/>
      </sharedItems>
    </cacheField>
    <cacheField name="Married" numFmtId="10">
      <sharedItems containsSemiMixedTypes="0" containsString="0" containsNumber="1">
        <n v="0.59795662305"/>
        <n v="0.549919340383"/>
        <n v="0.59706040509"/>
      </sharedItems>
    </cacheField>
    <cacheField name="Single" numFmtId="10">
      <sharedItems containsSemiMixedTypes="0" containsString="0" containsNumber="1">
        <n v="0.258827746908"/>
        <n v="0.301308478221"/>
        <n v="0.243592041584"/>
      </sharedItems>
    </cacheField>
    <cacheField name="Divorced" numFmtId="10">
      <sharedItems containsSemiMixedTypes="0" containsString="0" containsNumber="1">
        <n v="0.143215630041"/>
        <n v="0.148772181394"/>
        <n v="0.159347553324"/>
      </sharedItems>
    </cacheField>
    <cacheField name="Bachelor" numFmtId="10">
      <sharedItems containsSemiMixedTypes="0" containsString="0" containsNumber="1">
        <n v="0.647607098046"/>
        <n v="0.573221007348"/>
        <n v="0.65674852124"/>
      </sharedItems>
    </cacheField>
    <cacheField name="College" numFmtId="10">
      <sharedItems containsSemiMixedTypes="0" containsString="0" containsNumber="1">
        <n v="0.245922208281"/>
        <n v="0.288940670371"/>
        <n v="0.22477146442"/>
      </sharedItems>
    </cacheField>
    <cacheField name="Doctor" numFmtId="10">
      <sharedItems containsSemiMixedTypes="0" containsString="0" containsNumber="1">
        <n v="0.040329808209"/>
        <n v="0.04481089801"/>
        <n v="0.046424090338"/>
      </sharedItems>
    </cacheField>
    <cacheField name="High school or less" numFmtId="10">
      <sharedItems containsSemiMixedTypes="0" containsString="0" containsNumber="1">
        <n v="0.042839218497"/>
        <n v="0.053414590428"/>
        <n v="0.04391468005"/>
      </sharedItems>
    </cacheField>
    <cacheField name="Master" numFmtId="10">
      <sharedItems containsSemiMixedTypes="0" containsString="0" containsNumber="1">
        <n v="0.023301666965"/>
        <n v="0.039612833841"/>
        <n v="0.02814124395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D6" sheet="OVERVIEW OF CARDTYPE"/>
  </cacheSource>
  <cacheFields>
    <cacheField name="Loyalty Card" numFmtId="0">
      <sharedItems>
        <s v="Nova"/>
        <s v="Aurora"/>
        <s v="Star"/>
      </sharedItems>
    </cacheField>
    <cacheField name="Average salary" numFmtId="165">
      <sharedItems containsSemiMixedTypes="0" containsString="0" containsNumber="1" containsInteger="1">
        <n v="60557.0"/>
        <n v="61033.0"/>
        <n v="57814.0"/>
      </sharedItems>
    </cacheField>
    <cacheField name="Average point accumulated" numFmtId="3">
      <sharedItems containsSemiMixedTypes="0" containsString="0" containsNumber="1">
        <n v="2036.26184669643"/>
        <n v="2044.264856431"/>
        <n v="2012.63047677706"/>
      </sharedItems>
    </cacheField>
    <cacheField name="Average CLV" numFmtId="165">
      <sharedItems containsSemiMixedTypes="0" containsString="0" containsNumber="1">
        <n v="8061.79532472843"/>
        <n v="10666.5029217025"/>
        <n v="6720.53805812001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F5" sheet="Card_type"/>
  </cacheSource>
  <cacheFields>
    <cacheField name="Loyalty_Card" numFmtId="0">
      <sharedItems>
        <s v="Nova"/>
        <s v="Aurora"/>
        <s v="Star"/>
      </sharedItems>
    </cacheField>
    <cacheField name="Total_customers" numFmtId="0">
      <sharedItems containsSemiMixedTypes="0" containsString="0" containsNumber="1" containsInteger="1">
        <n v="5671.0"/>
        <n v="3429.0"/>
        <n v="7637.0"/>
      </sharedItems>
    </cacheField>
    <cacheField name="Total_flights" numFmtId="0">
      <sharedItems containsSemiMixedTypes="0" containsString="0" containsNumber="1" containsInteger="1">
        <n v="172817.0"/>
        <n v="104940.0"/>
        <n v="231051.0"/>
      </sharedItems>
    </cacheField>
    <cacheField name="Total_point_acc" numFmtId="0">
      <sharedItems containsSemiMixedTypes="0" containsString="0" containsNumber="1">
        <n v="2.71362435E8"/>
        <n v="1.657408175E8"/>
        <n v="3.5944574E8"/>
      </sharedItems>
    </cacheField>
    <cacheField name="Total_point_redeemed" numFmtId="0">
      <sharedItems containsSemiMixedTypes="0" containsString="0" containsNumber="1" containsInteger="1">
        <n v="4118923.0"/>
        <n v="2556575.0"/>
        <n v="5625074.0"/>
      </sharedItems>
    </cacheField>
    <cacheField name="Total_cost_redeemed" numFmtId="0">
      <sharedItems containsSemiMixedTypes="0" containsString="0" containsNumber="1" containsInteger="1">
        <n v="741527.0"/>
        <n v="460228.0"/>
        <n v="1012699.0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9:K81" sheet="Card_type"/>
  </cacheSource>
  <cacheFields>
    <cacheField name="Time" numFmtId="164">
      <sharedItems containsSemiMixedTypes="0" containsDate="1" containsString="0">
        <d v="2018-07-01T00:00:00Z"/>
        <d v="2017-02-01T00:00:00Z"/>
        <d v="2017-09-01T00:00:00Z"/>
        <d v="2018-04-01T00:00:00Z"/>
        <d v="2017-06-01T00:00:00Z"/>
        <d v="2018-10-01T00:00:00Z"/>
        <d v="2017-05-01T00:00:00Z"/>
        <d v="2018-11-01T00:00:00Z"/>
        <d v="2018-08-01T00:00:00Z"/>
        <d v="2017-03-01T00:00:00Z"/>
        <d v="2017-12-01T00:00:00Z"/>
        <d v="2018-01-01T00:00:00Z"/>
        <d v="2018-06-01T00:00:00Z"/>
        <d v="2017-04-01T00:00:00Z"/>
        <d v="2018-05-01T00:00:00Z"/>
        <d v="2018-02-01T00:00:00Z"/>
        <d v="2017-10-01T00:00:00Z"/>
        <d v="2018-09-01T00:00:00Z"/>
        <d v="2018-03-01T00:00:00Z"/>
        <d v="2017-01-01T00:00:00Z"/>
        <d v="2018-12-01T00:00:00Z"/>
        <d v="2017-07-01T00:00:00Z"/>
        <d v="2017-11-01T00:00:00Z"/>
        <d v="2017-08-01T00:00:00Z"/>
      </sharedItems>
    </cacheField>
    <cacheField name="Loyalty_Card" numFmtId="0">
      <sharedItems>
        <s v="Aurora"/>
        <s v="Nova"/>
        <s v="Star"/>
      </sharedItems>
    </cacheField>
    <cacheField name="Total_customers" numFmtId="0">
      <sharedItems containsSemiMixedTypes="0" containsString="0" containsNumber="1" containsInteger="1">
        <n v="3429.0"/>
        <n v="3221.0"/>
        <n v="5671.0"/>
        <n v="5341.0"/>
        <n v="7637.0"/>
        <n v="7204.0"/>
      </sharedItems>
    </cacheField>
    <cacheField name="Total_flights" numFmtId="0">
      <sharedItems containsSemiMixedTypes="0" containsString="0" containsNumber="1" containsInteger="1">
        <n v="7967.0"/>
        <n v="2740.0"/>
        <n v="3732.0"/>
        <n v="3327.0"/>
        <n v="4878.0"/>
        <n v="4358.0"/>
        <n v="3965.0"/>
        <n v="4098.0"/>
        <n v="6665.0"/>
        <n v="3774.0"/>
        <n v="4585.0"/>
        <n v="2731.0"/>
        <n v="6929.0"/>
        <n v="3109.0"/>
        <n v="5494.0"/>
        <n v="2762.0"/>
        <n v="3369.0"/>
        <n v="4648.0"/>
        <n v="3963.0"/>
        <n v="2688.0"/>
        <n v="5955.0"/>
        <n v="5471.0"/>
        <n v="3213.0"/>
        <n v="4519.0"/>
        <n v="6608.0"/>
        <n v="8906.0"/>
        <n v="7826.0"/>
        <n v="4536.0"/>
        <n v="9945.0"/>
        <n v="7076.0"/>
        <n v="6386.0"/>
        <n v="4404.0"/>
        <n v="5691.0"/>
        <n v="7276.0"/>
        <n v="5383.0"/>
        <n v="4646.0"/>
        <n v="11421.0"/>
        <n v="7964.0"/>
        <n v="12694.0"/>
        <n v="6634.0"/>
        <n v="6286.0"/>
        <n v="9203.0"/>
        <n v="7419.0"/>
        <n v="11673.0"/>
        <n v="5243.0"/>
        <n v="5673.0"/>
        <n v="4558.0"/>
        <n v="5366.0"/>
        <n v="9262.0"/>
        <n v="5967.0"/>
        <n v="8339.0"/>
        <n v="12957.0"/>
        <n v="10631.0"/>
        <n v="8016.0"/>
        <n v="7125.0"/>
        <n v="15238.0"/>
        <n v="9086.0"/>
        <n v="7416.0"/>
        <n v="11935.0"/>
        <n v="7166.0"/>
        <n v="5948.0"/>
        <n v="14722.0"/>
        <n v="6220.0"/>
        <n v="12648.0"/>
        <n v="9967.0"/>
        <n v="7097.0"/>
        <n v="6092.0"/>
        <n v="17275.0"/>
        <n v="8331.0"/>
        <n v="10010.0"/>
        <n v="8941.0"/>
        <n v="10662.0"/>
      </sharedItems>
    </cacheField>
    <cacheField name="Total_point_acc" numFmtId="0">
      <sharedItems containsSemiMixedTypes="0" containsString="0" containsNumber="1">
        <n v="1.3957321E7"/>
        <n v="4126879.0"/>
        <n v="5614423.0"/>
        <n v="5232523.0"/>
        <n v="7486868.0"/>
        <n v="6997485.0"/>
        <n v="5924239.0"/>
        <n v="6494375.0"/>
        <n v="1.1013814E7"/>
        <n v="5685194.0"/>
        <n v="6888171.0"/>
        <n v="4111550.0"/>
        <n v="1.1554089E7"/>
        <n v="4593267.0"/>
        <n v="9236189.0"/>
        <n v="4242387.0"/>
        <n v="5061547.0"/>
        <n v="7558425.0"/>
        <n v="6225418.5"/>
        <n v="4074884.0"/>
        <n v="9847618.0"/>
        <n v="8137241.0"/>
        <n v="4858784.0"/>
        <n v="6818126.0"/>
        <n v="1.0123145E7"/>
        <n v="1.3350577E7"/>
        <n v="1.1874053E7"/>
        <n v="6778994.0"/>
        <n v="1.6242158E7"/>
        <n v="1.1271147E7"/>
        <n v="9437727.0"/>
        <n v="6715683.0"/>
        <n v="8459560.0"/>
        <n v="1.0954463E7"/>
        <n v="8303480.0"/>
        <n v="6862212.0"/>
        <n v="1.9327361E7"/>
        <n v="1.1956799E7"/>
        <n v="2.1369689E7"/>
        <n v="1.0482157E7"/>
        <n v="9382853.0"/>
        <n v="1.5512228E7"/>
        <n v="1.2028217E7"/>
        <n v="1.947916E7"/>
        <n v="7951866.0"/>
        <n v="8489341.0"/>
        <n v="6881624.0"/>
        <n v="8127941.0"/>
        <n v="1.4616155E7"/>
        <n v="8977884.0"/>
        <n v="1.2438158E7"/>
        <n v="2.0992677E7"/>
        <n v="1.5747484E7"/>
        <n v="1.2004749E7"/>
        <n v="1.08854015E7"/>
        <n v="2.5428646E7"/>
        <n v="1.3961901E7"/>
        <n v="1.1068753E7"/>
        <n v="1.7751639E7"/>
        <n v="1.0780868E7"/>
        <n v="9019355.0"/>
        <n v="2.4357027E7"/>
        <n v="9461015.5"/>
        <n v="2.0788942E7"/>
        <n v="1.5806896E7"/>
        <n v="1.0671773E7"/>
        <n v="8917368.0"/>
        <n v="2.8445382E7"/>
        <n v="1.2389364E7"/>
        <n v="1.4810198E7"/>
        <n v="1.4116092E7"/>
        <n v="1.6008012E7"/>
      </sharedItems>
    </cacheField>
    <cacheField name="Total_point_redeemed" numFmtId="0">
      <sharedItems containsSemiMixedTypes="0" containsString="0" containsNumber="1" containsInteger="1">
        <n v="133865.0"/>
        <n v="63852.0"/>
        <n v="94822.0"/>
        <n v="95945.0"/>
        <n v="120769.0"/>
        <n v="111534.0"/>
        <n v="94915.0"/>
        <n v="102638.0"/>
        <n v="127028.0"/>
        <n v="87022.0"/>
        <n v="124717.0"/>
        <n v="95832.0"/>
        <n v="140599.0"/>
        <n v="94884.0"/>
        <n v="127327.0"/>
        <n v="89176.0"/>
        <n v="85155.0"/>
        <n v="116578.0"/>
        <n v="116124.0"/>
        <n v="78829.0"/>
        <n v="121880.0"/>
        <n v="132025.0"/>
        <n v="83137.0"/>
        <n v="117922.0"/>
        <n v="190405.0"/>
        <n v="194349.0"/>
        <n v="170106.0"/>
        <n v="125799.0"/>
        <n v="228230.0"/>
        <n v="164150.0"/>
        <n v="163520.0"/>
        <n v="119059.0"/>
        <n v="161738.0"/>
        <n v="185677.0"/>
        <n v="165265.0"/>
        <n v="138864.0"/>
        <n v="214420.0"/>
        <n v="190798.0"/>
        <n v="243474.0"/>
        <n v="171079.0"/>
        <n v="150819.0"/>
        <n v="197511.0"/>
        <n v="184035.0"/>
        <n v="222972.0"/>
        <n v="132070.0"/>
        <n v="139489.0"/>
        <n v="147135.0"/>
        <n v="117959.0"/>
        <n v="245075.0"/>
        <n v="153632.0"/>
        <n v="209917.0"/>
        <n v="299876.0"/>
        <n v="257475.0"/>
        <n v="221090.0"/>
        <n v="226444.0"/>
        <n v="300357.0"/>
        <n v="228494.0"/>
        <n v="215940.0"/>
        <n v="263282.0"/>
        <n v="210874.0"/>
        <n v="195669.0"/>
        <n v="313637.0"/>
        <n v="187543.0"/>
        <n v="233534.0"/>
        <n v="246134.0"/>
        <n v="190740.0"/>
        <n v="167979.0"/>
        <n v="318491.0"/>
        <n v="207950.0"/>
        <n v="238776.0"/>
        <n v="225364.0"/>
        <n v="266801.0"/>
      </sharedItems>
    </cacheField>
    <cacheField name="Total_cost_redeemed" numFmtId="0">
      <sharedItems containsSemiMixedTypes="0" containsString="0" containsNumber="1" containsInteger="1">
        <n v="24100.0"/>
        <n v="11494.0"/>
        <n v="17071.0"/>
        <n v="17269.0"/>
        <n v="21743.0"/>
        <n v="20071.0"/>
        <n v="17079.0"/>
        <n v="18473.0"/>
        <n v="22866.0"/>
        <n v="15662.0"/>
        <n v="22456.0"/>
        <n v="17263.0"/>
        <n v="25305.0"/>
        <n v="17084.0"/>
        <n v="22914.0"/>
        <n v="16048.0"/>
        <n v="15330.0"/>
        <n v="20993.0"/>
        <n v="20906.0"/>
        <n v="14197.0"/>
        <n v="21945.0"/>
        <n v="23765.0"/>
        <n v="14968.0"/>
        <n v="21226.0"/>
        <n v="34280.0"/>
        <n v="34985.0"/>
        <n v="30624.0"/>
        <n v="22647.0"/>
        <n v="41097.0"/>
        <n v="29550.0"/>
        <n v="29439.0"/>
        <n v="21434.0"/>
        <n v="29117.0"/>
        <n v="33430.0"/>
        <n v="29758.0"/>
        <n v="24996.0"/>
        <n v="38599.0"/>
        <n v="34345.0"/>
        <n v="43839.0"/>
        <n v="30805.0"/>
        <n v="27147.0"/>
        <n v="35565.0"/>
        <n v="33131.0"/>
        <n v="40133.0"/>
        <n v="23774.0"/>
        <n v="25103.0"/>
        <n v="26486.0"/>
        <n v="21243.0"/>
        <n v="44120.0"/>
        <n v="27662.0"/>
        <n v="37788.0"/>
        <n v="53994.0"/>
        <n v="46347.0"/>
        <n v="39799.0"/>
        <n v="40764.0"/>
        <n v="54067.0"/>
        <n v="41138.0"/>
        <n v="38880.0"/>
        <n v="47405.0"/>
        <n v="37971.0"/>
        <n v="35222.0"/>
        <n v="56460.0"/>
        <n v="33772.0"/>
        <n v="42051.0"/>
        <n v="44315.0"/>
        <n v="34339.0"/>
        <n v="30248.0"/>
        <n v="57341.0"/>
        <n v="37437.0"/>
        <n v="42980.0"/>
        <n v="40566.0"/>
        <n v="4803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Sheet1" cacheId="0" dataCaption="" rowGrandTotals="0" compact="0" compactData="0">
  <location ref="F4:H28" firstHeaderRow="0" firstDataRow="2" firstDataCol="0"/>
  <pivotFields>
    <pivotField name="Tim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ustomer" compact="0" numFmtId="165" outline="0" multipleItemSelectionAllowed="1" showAll="0">
      <items>
        <item x="0"/>
        <item x="1"/>
        <item t="default"/>
      </items>
    </pivotField>
    <pivotField name="Total fligh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verage_flight_per_customer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</rowFields>
  <colFields>
    <field x="-2"/>
  </colFields>
  <dataFields>
    <dataField name="Total flight" fld="2" baseField="0"/>
    <dataField name="Flight per customer" fld="3" baseField="0"/>
  </dataFields>
</pivotTableDefinition>
</file>

<file path=xl/pivotTables/pivotTable2.xml><?xml version="1.0" encoding="utf-8"?>
<pivotTableDefinition xmlns="http://schemas.openxmlformats.org/spreadsheetml/2006/main" name="Sheet1 2" cacheId="0" dataCaption="" rowGrandTotals="0" compact="0" compactData="0">
  <location ref="F32:H56" firstHeaderRow="0" firstDataRow="2" firstDataCol="0"/>
  <pivotFields>
    <pivotField name="Tim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ustomer" dataField="1" compact="0" numFmtId="165" outline="0" multipleItemSelectionAllowed="1" showAll="0">
      <items>
        <item x="0"/>
        <item x="1"/>
        <item t="default"/>
      </items>
    </pivotField>
    <pivotField name="Total fligh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verage_flight_per_customer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</rowFields>
  <colFields>
    <field x="-2"/>
  </colFields>
  <dataFields>
    <dataField name="SUM of Total customer" fld="1" baseField="0"/>
    <dataField name="Total flight" fld="2" baseField="0"/>
  </dataFields>
</pivotTableDefinition>
</file>

<file path=xl/pivotTables/pivotTable3.xml><?xml version="1.0" encoding="utf-8"?>
<pivotTableDefinition xmlns="http://schemas.openxmlformats.org/spreadsheetml/2006/main" name="Trang tính3" cacheId="1" dataCaption="" rowGrandTotals="0" compact="0" compactData="0">
  <location ref="L2:N26" firstHeaderRow="0" firstDataRow="2" firstDataCol="0"/>
  <pivotFields>
    <pivotField name="Tim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ustomers" compact="0" numFmtId="165" outline="0" multipleItemSelectionAllowed="1" showAll="0">
      <items>
        <item x="0"/>
        <item x="1"/>
        <item t="default"/>
      </items>
    </pivotField>
    <pivotField name="Total_flight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light_per_customer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verage_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verage_redeem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ost_Redee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ost_per_fligh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evious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M_grow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</rowFields>
  <colFields>
    <field x="-2"/>
  </colFields>
  <dataFields>
    <dataField name="Total flights" fld="2" baseField="0"/>
    <dataField name="MOM growth" fld="9" baseField="0"/>
  </dataFields>
</pivotTableDefinition>
</file>

<file path=xl/pivotTables/pivotTable4.xml><?xml version="1.0" encoding="utf-8"?>
<pivotTableDefinition xmlns="http://schemas.openxmlformats.org/spreadsheetml/2006/main" name="Trang tính3 2" cacheId="1" dataCaption="" rowGrandTotals="0" compact="0" compactData="0">
  <location ref="L30:N54" firstHeaderRow="0" firstDataRow="2" firstDataCol="0"/>
  <pivotFields>
    <pivotField name="Tim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ustomers" compact="0" numFmtId="165" outline="0" multipleItemSelectionAllowed="1" showAll="0">
      <items>
        <item x="0"/>
        <item x="1"/>
        <item t="default"/>
      </items>
    </pivotField>
    <pivotField name="Total_flight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light_per_customer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verage_dist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verage_redee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ost_Redee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ost_per_fligh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evious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M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</rowFields>
  <colFields>
    <field x="-2"/>
  </colFields>
  <dataFields>
    <dataField name="Average redeem" fld="5" baseField="0"/>
    <dataField name="Cost per flight" fld="7" baseField="0"/>
  </dataFields>
</pivotTableDefinition>
</file>

<file path=xl/pivotTables/pivotTable5.xml><?xml version="1.0" encoding="utf-8"?>
<pivotTableDefinition xmlns="http://schemas.openxmlformats.org/spreadsheetml/2006/main" name="NHÂN KHẨU HỌC" cacheId="2" dataCaption="" rowGrandTotals="0" compact="0" compactData="0">
  <location ref="A8:C11" firstHeaderRow="0" firstDataRow="2" firstDataCol="0"/>
  <pivotFields>
    <pivotField name="tier" axis="axisRow" compact="0" outline="0" multipleItemSelectionAllowed="1" showAll="0" sortType="ascending">
      <items>
        <item x="2"/>
        <item x="0"/>
        <item x="1"/>
        <item t="default"/>
      </items>
    </pivotField>
    <pivotField name="Male" dataField="1" compact="0" numFmtId="10" outline="0" multipleItemSelectionAllowed="1" showAll="0">
      <items>
        <item x="0"/>
        <item x="1"/>
        <item x="2"/>
        <item t="default"/>
      </items>
    </pivotField>
    <pivotField name="Female" dataField="1" compact="0" numFmtId="10" outline="0" multipleItemSelectionAllowed="1" showAll="0">
      <items>
        <item x="0"/>
        <item x="1"/>
        <item x="2"/>
        <item t="default"/>
      </items>
    </pivotField>
    <pivotField name="Married" compact="0" numFmtId="10" outline="0" multipleItemSelectionAllowed="1" showAll="0">
      <items>
        <item x="0"/>
        <item x="1"/>
        <item x="2"/>
        <item t="default"/>
      </items>
    </pivotField>
    <pivotField name="Single" compact="0" numFmtId="10" outline="0" multipleItemSelectionAllowed="1" showAll="0">
      <items>
        <item x="0"/>
        <item x="1"/>
        <item x="2"/>
        <item t="default"/>
      </items>
    </pivotField>
    <pivotField name="Divorced" compact="0" numFmtId="10" outline="0" multipleItemSelectionAllowed="1" showAll="0">
      <items>
        <item x="0"/>
        <item x="1"/>
        <item x="2"/>
        <item t="default"/>
      </items>
    </pivotField>
    <pivotField name="Bachelor" compact="0" numFmtId="10" outline="0" multipleItemSelectionAllowed="1" showAll="0">
      <items>
        <item x="0"/>
        <item x="1"/>
        <item x="2"/>
        <item t="default"/>
      </items>
    </pivotField>
    <pivotField name="College" compact="0" numFmtId="10" outline="0" multipleItemSelectionAllowed="1" showAll="0">
      <items>
        <item x="0"/>
        <item x="1"/>
        <item x="2"/>
        <item t="default"/>
      </items>
    </pivotField>
    <pivotField name="Doctor" compact="0" numFmtId="10" outline="0" multipleItemSelectionAllowed="1" showAll="0">
      <items>
        <item x="0"/>
        <item x="1"/>
        <item x="2"/>
        <item t="default"/>
      </items>
    </pivotField>
    <pivotField name="High school or less" compact="0" numFmtId="10" outline="0" multipleItemSelectionAllowed="1" showAll="0">
      <items>
        <item x="0"/>
        <item x="1"/>
        <item x="2"/>
        <item t="default"/>
      </items>
    </pivotField>
    <pivotField name="Master" compact="0" numFmtId="1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SUM of Female" fld="2" baseField="0"/>
    <dataField name="SUM of Male" fld="1" baseField="0"/>
  </dataFields>
</pivotTableDefinition>
</file>

<file path=xl/pivotTables/pivotTable6.xml><?xml version="1.0" encoding="utf-8"?>
<pivotTableDefinition xmlns="http://schemas.openxmlformats.org/spreadsheetml/2006/main" name="NHÂN KHẨU HỌC 2" cacheId="2" dataCaption="" rowGrandTotals="0" compact="0" compactData="0">
  <location ref="F8:G11" firstHeaderRow="0" firstDataRow="1" firstDataCol="0"/>
  <pivotFields>
    <pivotField name="tier" axis="axisRow" compact="0" outline="0" multipleItemSelectionAllowed="1" showAll="0" sortType="ascending">
      <items>
        <item x="2"/>
        <item x="0"/>
        <item x="1"/>
        <item t="default"/>
      </items>
    </pivotField>
    <pivotField name="Male" compact="0" numFmtId="10" outline="0" multipleItemSelectionAllowed="1" showAll="0">
      <items>
        <item x="0"/>
        <item x="1"/>
        <item x="2"/>
        <item t="default"/>
      </items>
    </pivotField>
    <pivotField name="Female" compact="0" numFmtId="10" outline="0" multipleItemSelectionAllowed="1" showAll="0">
      <items>
        <item x="0"/>
        <item x="1"/>
        <item x="2"/>
        <item t="default"/>
      </items>
    </pivotField>
    <pivotField name="Married" compact="0" numFmtId="10" outline="0" multipleItemSelectionAllowed="1" showAll="0">
      <items>
        <item x="0"/>
        <item x="1"/>
        <item x="2"/>
        <item t="default"/>
      </items>
    </pivotField>
    <pivotField name="Single" compact="0" numFmtId="10" outline="0" multipleItemSelectionAllowed="1" showAll="0">
      <items>
        <item x="0"/>
        <item x="1"/>
        <item x="2"/>
        <item t="default"/>
      </items>
    </pivotField>
    <pivotField name="Divorced" compact="0" numFmtId="10" outline="0" multipleItemSelectionAllowed="1" showAll="0">
      <items>
        <item x="0"/>
        <item x="1"/>
        <item x="2"/>
        <item t="default"/>
      </items>
    </pivotField>
    <pivotField name="Bachelor" compact="0" numFmtId="10" outline="0" multipleItemSelectionAllowed="1" showAll="0">
      <items>
        <item x="0"/>
        <item x="1"/>
        <item x="2"/>
        <item t="default"/>
      </items>
    </pivotField>
    <pivotField name="College" compact="0" numFmtId="10" outline="0" multipleItemSelectionAllowed="1" showAll="0">
      <items>
        <item x="0"/>
        <item x="1"/>
        <item x="2"/>
        <item t="default"/>
      </items>
    </pivotField>
    <pivotField name="Doctor" compact="0" numFmtId="10" outline="0" multipleItemSelectionAllowed="1" showAll="0">
      <items>
        <item x="0"/>
        <item x="1"/>
        <item x="2"/>
        <item t="default"/>
      </items>
    </pivotField>
    <pivotField name="High school or less" compact="0" numFmtId="10" outline="0" multipleItemSelectionAllowed="1" showAll="0">
      <items>
        <item x="0"/>
        <item x="1"/>
        <item x="2"/>
        <item t="default"/>
      </items>
    </pivotField>
    <pivotField name="Master" compact="0" numFmtId="10" outline="0" multipleItemSelectionAllowed="1" showAll="0">
      <items>
        <item x="0"/>
        <item x="1"/>
        <item x="2"/>
        <item t="default"/>
      </items>
    </pivotField>
  </pivotFields>
  <rowFields>
    <field x="0"/>
  </rowFields>
</pivotTableDefinition>
</file>

<file path=xl/pivotTables/pivotTable7.xml><?xml version="1.0" encoding="utf-8"?>
<pivotTableDefinition xmlns="http://schemas.openxmlformats.org/spreadsheetml/2006/main" name="NHÂN KHẨU HỌC 3" cacheId="2" dataCaption="" rowGrandTotals="0" compact="0" compactData="0">
  <location ref="A13:D16" firstHeaderRow="0" firstDataRow="2" firstDataCol="0"/>
  <pivotFields>
    <pivotField name="tier" axis="axisRow" compact="0" outline="0" multipleItemSelectionAllowed="1" showAll="0" sortType="ascending">
      <items>
        <item x="2"/>
        <item x="0"/>
        <item x="1"/>
        <item t="default"/>
      </items>
    </pivotField>
    <pivotField name="Male" compact="0" numFmtId="10" outline="0" multipleItemSelectionAllowed="1" showAll="0">
      <items>
        <item x="0"/>
        <item x="1"/>
        <item x="2"/>
        <item t="default"/>
      </items>
    </pivotField>
    <pivotField name="Female" compact="0" numFmtId="10" outline="0" multipleItemSelectionAllowed="1" showAll="0">
      <items>
        <item x="0"/>
        <item x="1"/>
        <item x="2"/>
        <item t="default"/>
      </items>
    </pivotField>
    <pivotField name="Married" dataField="1" compact="0" numFmtId="10" outline="0" multipleItemSelectionAllowed="1" showAll="0">
      <items>
        <item x="0"/>
        <item x="1"/>
        <item x="2"/>
        <item t="default"/>
      </items>
    </pivotField>
    <pivotField name="Single" dataField="1" compact="0" numFmtId="10" outline="0" multipleItemSelectionAllowed="1" showAll="0">
      <items>
        <item x="0"/>
        <item x="1"/>
        <item x="2"/>
        <item t="default"/>
      </items>
    </pivotField>
    <pivotField name="Divorced" dataField="1" compact="0" numFmtId="10" outline="0" multipleItemSelectionAllowed="1" showAll="0">
      <items>
        <item x="0"/>
        <item x="1"/>
        <item x="2"/>
        <item t="default"/>
      </items>
    </pivotField>
    <pivotField name="Bachelor" compact="0" numFmtId="10" outline="0" multipleItemSelectionAllowed="1" showAll="0">
      <items>
        <item x="0"/>
        <item x="1"/>
        <item x="2"/>
        <item t="default"/>
      </items>
    </pivotField>
    <pivotField name="College" compact="0" numFmtId="10" outline="0" multipleItemSelectionAllowed="1" showAll="0">
      <items>
        <item x="0"/>
        <item x="1"/>
        <item x="2"/>
        <item t="default"/>
      </items>
    </pivotField>
    <pivotField name="Doctor" compact="0" numFmtId="10" outline="0" multipleItemSelectionAllowed="1" showAll="0">
      <items>
        <item x="0"/>
        <item x="1"/>
        <item x="2"/>
        <item t="default"/>
      </items>
    </pivotField>
    <pivotField name="High school or less" compact="0" numFmtId="10" outline="0" multipleItemSelectionAllowed="1" showAll="0">
      <items>
        <item x="0"/>
        <item x="1"/>
        <item x="2"/>
        <item t="default"/>
      </items>
    </pivotField>
    <pivotField name="Master" compact="0" numFmtId="1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SUM of Married" fld="3" baseField="0"/>
    <dataField name="SUM of Divorced" fld="5" baseField="0"/>
    <dataField name="SUM of Single" fld="4" baseField="0"/>
  </dataFields>
</pivotTableDefinition>
</file>

<file path=xl/pivotTables/pivotTable8.xml><?xml version="1.0" encoding="utf-8"?>
<pivotTableDefinition xmlns="http://schemas.openxmlformats.org/spreadsheetml/2006/main" name="NHÂN KHẨU HỌC 4" cacheId="2" dataCaption="" compact="0" compactData="0">
  <location ref="H13:I17" firstHeaderRow="0" firstDataRow="1" firstDataCol="0"/>
  <pivotFields>
    <pivotField name="tier" axis="axisRow" compact="0" outline="0" multipleItemSelectionAllowed="1" showAll="0" sortType="ascending">
      <items>
        <item x="2"/>
        <item x="0"/>
        <item x="1"/>
        <item t="default"/>
      </items>
    </pivotField>
    <pivotField name="Male" dataField="1" compact="0" numFmtId="10" outline="0" multipleItemSelectionAllowed="1" showAll="0">
      <items>
        <item x="0"/>
        <item x="1"/>
        <item x="2"/>
        <item t="default"/>
      </items>
    </pivotField>
    <pivotField name="Female" compact="0" numFmtId="10" outline="0" multipleItemSelectionAllowed="1" showAll="0">
      <items>
        <item x="0"/>
        <item x="1"/>
        <item x="2"/>
        <item t="default"/>
      </items>
    </pivotField>
    <pivotField name="Married" compact="0" numFmtId="10" outline="0" multipleItemSelectionAllowed="1" showAll="0">
      <items>
        <item x="0"/>
        <item x="1"/>
        <item x="2"/>
        <item t="default"/>
      </items>
    </pivotField>
    <pivotField name="Single" compact="0" numFmtId="10" outline="0" multipleItemSelectionAllowed="1" showAll="0">
      <items>
        <item x="0"/>
        <item x="1"/>
        <item x="2"/>
        <item t="default"/>
      </items>
    </pivotField>
    <pivotField name="Divorced" compact="0" numFmtId="10" outline="0" multipleItemSelectionAllowed="1" showAll="0">
      <items>
        <item x="0"/>
        <item x="1"/>
        <item x="2"/>
        <item t="default"/>
      </items>
    </pivotField>
    <pivotField name="Bachelor" compact="0" numFmtId="10" outline="0" multipleItemSelectionAllowed="1" showAll="0">
      <items>
        <item x="0"/>
        <item x="1"/>
        <item x="2"/>
        <item t="default"/>
      </items>
    </pivotField>
    <pivotField name="College" compact="0" numFmtId="10" outline="0" multipleItemSelectionAllowed="1" showAll="0">
      <items>
        <item x="0"/>
        <item x="1"/>
        <item x="2"/>
        <item t="default"/>
      </items>
    </pivotField>
    <pivotField name="Doctor" compact="0" numFmtId="10" outline="0" multipleItemSelectionAllowed="1" showAll="0">
      <items>
        <item x="0"/>
        <item x="1"/>
        <item x="2"/>
        <item t="default"/>
      </items>
    </pivotField>
    <pivotField name="High school or less" compact="0" numFmtId="10" outline="0" multipleItemSelectionAllowed="1" showAll="0">
      <items>
        <item x="0"/>
        <item x="1"/>
        <item x="2"/>
        <item t="default"/>
      </items>
    </pivotField>
    <pivotField name="Master" compact="0" numFmtId="10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SUM of Male" fld="1" baseField="0"/>
  </dataFields>
</pivotTableDefinition>
</file>

<file path=xl/pivotTables/pivotTable9.xml><?xml version="1.0" encoding="utf-8"?>
<pivotTableDefinition xmlns="http://schemas.openxmlformats.org/spreadsheetml/2006/main" name="NHÂN KHẨU HỌC 5" cacheId="2" dataCaption="" rowGrandTotals="0" compact="0" compactData="0">
  <location ref="A18:F21" firstHeaderRow="0" firstDataRow="2" firstDataCol="0"/>
  <pivotFields>
    <pivotField name="tier" axis="axisRow" compact="0" outline="0" multipleItemSelectionAllowed="1" showAll="0" sortType="ascending">
      <items>
        <item x="2"/>
        <item x="0"/>
        <item x="1"/>
        <item t="default"/>
      </items>
    </pivotField>
    <pivotField name="Male" compact="0" numFmtId="10" outline="0" multipleItemSelectionAllowed="1" showAll="0">
      <items>
        <item x="0"/>
        <item x="1"/>
        <item x="2"/>
        <item t="default"/>
      </items>
    </pivotField>
    <pivotField name="Female" compact="0" numFmtId="10" outline="0" multipleItemSelectionAllowed="1" showAll="0">
      <items>
        <item x="0"/>
        <item x="1"/>
        <item x="2"/>
        <item t="default"/>
      </items>
    </pivotField>
    <pivotField name="Married" compact="0" numFmtId="10" outline="0" multipleItemSelectionAllowed="1" showAll="0">
      <items>
        <item x="0"/>
        <item x="1"/>
        <item x="2"/>
        <item t="default"/>
      </items>
    </pivotField>
    <pivotField name="Single" compact="0" numFmtId="10" outline="0" multipleItemSelectionAllowed="1" showAll="0">
      <items>
        <item x="0"/>
        <item x="1"/>
        <item x="2"/>
        <item t="default"/>
      </items>
    </pivotField>
    <pivotField name="Divorced" compact="0" numFmtId="10" outline="0" multipleItemSelectionAllowed="1" showAll="0">
      <items>
        <item x="0"/>
        <item x="1"/>
        <item x="2"/>
        <item t="default"/>
      </items>
    </pivotField>
    <pivotField name="Bachelor" dataField="1" compact="0" numFmtId="10" outline="0" multipleItemSelectionAllowed="1" showAll="0">
      <items>
        <item x="0"/>
        <item x="1"/>
        <item x="2"/>
        <item t="default"/>
      </items>
    </pivotField>
    <pivotField name="College" dataField="1" compact="0" numFmtId="10" outline="0" multipleItemSelectionAllowed="1" showAll="0">
      <items>
        <item x="0"/>
        <item x="1"/>
        <item x="2"/>
        <item t="default"/>
      </items>
    </pivotField>
    <pivotField name="Doctor" dataField="1" compact="0" numFmtId="10" outline="0" multipleItemSelectionAllowed="1" showAll="0">
      <items>
        <item x="0"/>
        <item x="1"/>
        <item x="2"/>
        <item t="default"/>
      </items>
    </pivotField>
    <pivotField name="High school or less" dataField="1" compact="0" numFmtId="10" outline="0" multipleItemSelectionAllowed="1" showAll="0">
      <items>
        <item x="0"/>
        <item x="1"/>
        <item x="2"/>
        <item t="default"/>
      </items>
    </pivotField>
    <pivotField name="Master" dataField="1" compact="0" numFmtId="1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SUM of Bachelor" fld="6" baseField="0"/>
    <dataField name="SUM of College" fld="7" baseField="0"/>
    <dataField name="SUM of Doctor" fld="8" baseField="0"/>
    <dataField name="SUM of High school or less" fld="9" baseField="0"/>
    <dataField name="SUM of Master" fld="10" baseField="0"/>
  </dataFields>
</pivotTableDefinition>
</file>

<file path=xl/pivotTables/pivotTable10.xml><?xml version="1.0" encoding="utf-8"?>
<pivotTableDefinition xmlns="http://schemas.openxmlformats.org/spreadsheetml/2006/main" name="OVERVIEW OF CARDTYPE" cacheId="3" dataCaption="" rowGrandTotals="0" compact="0" compactData="0">
  <location ref="F3:G6" firstHeaderRow="0" firstDataRow="1" firstDataCol="0"/>
  <pivotFields>
    <pivotField name="Loyalty Card" axis="axisRow" compact="0" outline="0" multipleItemSelectionAllowed="1" showAll="0" sortType="ascending">
      <items>
        <item x="1"/>
        <item x="0"/>
        <item x="2"/>
        <item t="default"/>
      </items>
    </pivotField>
    <pivotField name="Average salary" dataField="1" compact="0" numFmtId="165" outline="0" multipleItemSelectionAllowed="1" showAll="0">
      <items>
        <item x="0"/>
        <item x="1"/>
        <item x="2"/>
        <item t="default"/>
      </items>
    </pivotField>
    <pivotField name="Average point accumulated" compact="0" numFmtId="3" outline="0" multipleItemSelectionAllowed="1" showAll="0">
      <items>
        <item x="0"/>
        <item x="1"/>
        <item x="2"/>
        <item t="default"/>
      </items>
    </pivotField>
    <pivotField name="Average CLV" compact="0" numFmtId="165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Average salary" fld="1" baseField="0"/>
  </dataFields>
</pivotTableDefinition>
</file>

<file path=xl/pivotTables/pivotTable11.xml><?xml version="1.0" encoding="utf-8"?>
<pivotTableDefinition xmlns="http://schemas.openxmlformats.org/spreadsheetml/2006/main" name="OVERVIEW OF CARDTYPE 2" cacheId="3" dataCaption="" rowGrandTotals="0" compact="0" compactData="0">
  <location ref="F20:G23" firstHeaderRow="0" firstDataRow="1" firstDataCol="0"/>
  <pivotFields>
    <pivotField name="Loyalty Card" axis="axisRow" compact="0" outline="0" multipleItemSelectionAllowed="1" showAll="0" sortType="ascending">
      <items>
        <item x="1"/>
        <item x="0"/>
        <item x="2"/>
        <item t="default"/>
      </items>
    </pivotField>
    <pivotField name="Average salary" compact="0" numFmtId="165" outline="0" multipleItemSelectionAllowed="1" showAll="0">
      <items>
        <item x="0"/>
        <item x="1"/>
        <item x="2"/>
        <item t="default"/>
      </items>
    </pivotField>
    <pivotField name="Average point accumulated" dataField="1" compact="0" numFmtId="3" outline="0" multipleItemSelectionAllowed="1" showAll="0">
      <items>
        <item x="0"/>
        <item x="1"/>
        <item x="2"/>
        <item t="default"/>
      </items>
    </pivotField>
    <pivotField name="Average CLV" compact="0" numFmtId="165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Average point accumulated" fld="2" baseField="0"/>
  </dataFields>
</pivotTableDefinition>
</file>

<file path=xl/pivotTables/pivotTable12.xml><?xml version="1.0" encoding="utf-8"?>
<pivotTableDefinition xmlns="http://schemas.openxmlformats.org/spreadsheetml/2006/main" name="OVERVIEW OF CARDTYPE 3" cacheId="3" dataCaption="" rowGrandTotals="0" compact="0" compactData="0">
  <location ref="F34:G37" firstHeaderRow="0" firstDataRow="1" firstDataCol="0"/>
  <pivotFields>
    <pivotField name="Loyalty Card" axis="axisRow" compact="0" outline="0" multipleItemSelectionAllowed="1" showAll="0" sortType="ascending">
      <items>
        <item x="1"/>
        <item x="0"/>
        <item x="2"/>
        <item t="default"/>
      </items>
    </pivotField>
    <pivotField name="Average salary" compact="0" numFmtId="165" outline="0" multipleItemSelectionAllowed="1" showAll="0">
      <items>
        <item x="0"/>
        <item x="1"/>
        <item x="2"/>
        <item t="default"/>
      </items>
    </pivotField>
    <pivotField name="Average point accumulated" compact="0" numFmtId="3" outline="0" multipleItemSelectionAllowed="1" showAll="0">
      <items>
        <item x="0"/>
        <item x="1"/>
        <item x="2"/>
        <item t="default"/>
      </items>
    </pivotField>
    <pivotField name="Average CLV" dataField="1" compact="0" numFmtId="165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Average CLV" fld="3" baseField="0"/>
  </dataFields>
</pivotTableDefinition>
</file>

<file path=xl/pivotTables/pivotTable13.xml><?xml version="1.0" encoding="utf-8"?>
<pivotTableDefinition xmlns="http://schemas.openxmlformats.org/spreadsheetml/2006/main" name="Card_type" cacheId="4" dataCaption="" rowGrandTotals="0" compact="0" compactData="0">
  <location ref="H2:J5" firstHeaderRow="0" firstDataRow="2" firstDataCol="0"/>
  <pivotFields>
    <pivotField name="Loyalty_Card" axis="axisRow" compact="0" outline="0" multipleItemSelectionAllowed="1" showAll="0" sortType="ascending">
      <items>
        <item x="1"/>
        <item x="0"/>
        <item x="2"/>
        <item t="default"/>
      </items>
    </pivotField>
    <pivotField name="Total_customers" dataField="1" compact="0" outline="0" multipleItemSelectionAllowed="1" showAll="0">
      <items>
        <item x="0"/>
        <item x="1"/>
        <item x="2"/>
        <item t="default"/>
      </items>
    </pivotField>
    <pivotField name="Total_flights" dataField="1" compact="0" outline="0" multipleItemSelectionAllowed="1" showAll="0">
      <items>
        <item x="0"/>
        <item x="1"/>
        <item x="2"/>
        <item t="default"/>
      </items>
    </pivotField>
    <pivotField name="Total_point_acc" compact="0" outline="0" multipleItemSelectionAllowed="1" showAll="0">
      <items>
        <item x="0"/>
        <item x="1"/>
        <item x="2"/>
        <item t="default"/>
      </items>
    </pivotField>
    <pivotField name="Total_point_redeemed" compact="0" outline="0" multipleItemSelectionAllowed="1" showAll="0">
      <items>
        <item x="0"/>
        <item x="1"/>
        <item x="2"/>
        <item t="default"/>
      </items>
    </pivotField>
    <pivotField name="Total_cost_redeemed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Total_customers" fld="1" baseField="0"/>
    <dataField name="Total_flights" fld="2" baseField="0"/>
  </dataFields>
</pivotTableDefinition>
</file>

<file path=xl/pivotTables/pivotTable14.xml><?xml version="1.0" encoding="utf-8"?>
<pivotTableDefinition xmlns="http://schemas.openxmlformats.org/spreadsheetml/2006/main" name="Card_type 2" cacheId="5" dataCaption="" rowGrandTotals="0" compact="0" compactData="0">
  <location ref="L2:N5" firstHeaderRow="0" firstDataRow="2" firstDataCol="0"/>
  <pivotFields>
    <pivotField name="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oyalty_Card" axis="axisRow" compact="0" outline="0" multipleItemSelectionAllowed="1" showAll="0" sortType="ascending">
      <items>
        <item x="0"/>
        <item x="1"/>
        <item x="2"/>
        <item t="default"/>
      </items>
    </pivotField>
    <pivotField name="Total_custom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fligh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point_ac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point_redee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cost_redee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>
    <field x="1"/>
  </rowFields>
  <colFields>
    <field x="-2"/>
  </colFields>
  <dataFields>
    <dataField name="MAX of Total_customers" fld="2" subtotal="max" baseField="0"/>
    <dataField name="SUM of Total_flights" fld="3" baseField="0"/>
  </dataFields>
</pivotTableDefinition>
</file>

<file path=xl/pivotTables/pivotTable15.xml><?xml version="1.0" encoding="utf-8"?>
<pivotTableDefinition xmlns="http://schemas.openxmlformats.org/spreadsheetml/2006/main" name="Card_type 3" cacheId="5" dataCaption="" rowGrandTotals="0" colGrandTotals="0" compact="0" compactData="0">
  <location ref="M7:P32" firstHeaderRow="0" firstDataRow="1" firstDataCol="1"/>
  <pivotFields>
    <pivotField name="Time" axis="axisRow" compact="0" numFmtId="164" outline="0" multipleItemSelectionAllowed="1" showAll="0" sortType="ascending">
      <items>
        <item x="19"/>
        <item x="1"/>
        <item x="9"/>
        <item x="13"/>
        <item x="6"/>
        <item x="4"/>
        <item x="21"/>
        <item x="23"/>
        <item x="2"/>
        <item x="16"/>
        <item x="22"/>
        <item x="10"/>
        <item x="11"/>
        <item x="15"/>
        <item x="18"/>
        <item x="3"/>
        <item x="14"/>
        <item x="12"/>
        <item x="0"/>
        <item x="8"/>
        <item x="17"/>
        <item x="5"/>
        <item x="7"/>
        <item x="20"/>
        <item t="default"/>
      </items>
    </pivotField>
    <pivotField name="Loyalty_Card" axis="axisCol" compact="0" outline="0" multipleItemSelectionAllowed="1" showAll="0" sortType="ascending">
      <items>
        <item x="0"/>
        <item x="1"/>
        <item x="2"/>
        <item t="default"/>
      </items>
    </pivotField>
    <pivotField name="Total_custom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fligh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point_ac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point_redee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cost_redee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>
    <field x="0"/>
  </rowFields>
  <colFields>
    <field x="1"/>
  </colFields>
  <dataFields>
    <dataField name="SUM of Total_flights" fld="3" baseField="0"/>
  </dataFields>
</pivotTableDefinition>
</file>

<file path=xl/pivotTables/pivotTable16.xml><?xml version="1.0" encoding="utf-8"?>
<pivotTableDefinition xmlns="http://schemas.openxmlformats.org/spreadsheetml/2006/main" name="Card_type 4" cacheId="5" dataCaption="" rowGrandTotals="0" colGrandTotals="0" compact="0" compactData="0">
  <location ref="M35:P60" firstHeaderRow="0" firstDataRow="1" firstDataCol="1"/>
  <pivotFields>
    <pivotField name="Time" axis="axisRow" compact="0" numFmtId="164" outline="0" multipleItemSelectionAllowed="1" showAll="0" sortType="ascending">
      <items>
        <item x="19"/>
        <item x="1"/>
        <item x="9"/>
        <item x="13"/>
        <item x="6"/>
        <item x="4"/>
        <item x="21"/>
        <item x="23"/>
        <item x="2"/>
        <item x="16"/>
        <item x="22"/>
        <item x="10"/>
        <item x="11"/>
        <item x="15"/>
        <item x="18"/>
        <item x="3"/>
        <item x="14"/>
        <item x="12"/>
        <item x="0"/>
        <item x="8"/>
        <item x="17"/>
        <item x="5"/>
        <item x="7"/>
        <item x="20"/>
        <item t="default"/>
      </items>
    </pivotField>
    <pivotField name="Loyalty_Card" axis="axisCol" compact="0" outline="0" multipleItemSelectionAllowed="1" showAll="0" sortType="ascending">
      <items>
        <item x="0"/>
        <item x="1"/>
        <item x="2"/>
        <item t="default"/>
      </items>
    </pivotField>
    <pivotField name="Total_custom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fligh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point_ac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point_redee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cost_redee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>
    <field x="0"/>
  </rowFields>
  <colFields>
    <field x="1"/>
  </colFields>
  <dataFields>
    <dataField name="SUM of Total_customer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pivotTable" Target="../pivotTables/pivotTable9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pivotTable" Target="../pivotTables/pivotTable12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pivotTable" Target="../pivotTables/pivotTable14.xml"/><Relationship Id="rId3" Type="http://schemas.openxmlformats.org/officeDocument/2006/relationships/pivotTable" Target="../pivotTables/pivotTable15.xml"/><Relationship Id="rId4" Type="http://schemas.openxmlformats.org/officeDocument/2006/relationships/pivotTable" Target="../pivotTables/pivotTable16.xm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75"/>
    <col customWidth="1" min="3" max="3" width="9.0"/>
    <col customWidth="1" min="4" max="4" width="22.75"/>
    <col customWidth="1" min="7" max="7" width="24.0"/>
    <col customWidth="1" min="8" max="8" width="16.25"/>
  </cols>
  <sheetData>
    <row r="2">
      <c r="A2" s="1" t="s">
        <v>0</v>
      </c>
    </row>
    <row r="3">
      <c r="A3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</row>
    <row r="5">
      <c r="A5" s="4">
        <v>42736.0</v>
      </c>
      <c r="B5" s="5">
        <v>15766.0</v>
      </c>
      <c r="C5" s="5">
        <v>13059.0</v>
      </c>
      <c r="D5" s="6">
        <v>0.8283014080933</v>
      </c>
    </row>
    <row r="6">
      <c r="A6" s="4">
        <v>42767.0</v>
      </c>
      <c r="B6" s="5">
        <v>15766.0</v>
      </c>
      <c r="C6" s="5">
        <v>13368.0</v>
      </c>
      <c r="D6" s="6">
        <v>0.8479005454776</v>
      </c>
    </row>
    <row r="7">
      <c r="A7" s="4">
        <v>42795.0</v>
      </c>
      <c r="B7" s="5">
        <v>15766.0</v>
      </c>
      <c r="C7" s="5">
        <v>18391.0</v>
      </c>
      <c r="D7" s="6">
        <v>1.1664975263224</v>
      </c>
    </row>
    <row r="8">
      <c r="A8" s="4">
        <v>42826.0</v>
      </c>
      <c r="B8" s="5">
        <v>15766.0</v>
      </c>
      <c r="C8" s="5">
        <v>15449.0</v>
      </c>
      <c r="D8" s="6">
        <v>0.9798934415831</v>
      </c>
    </row>
    <row r="9">
      <c r="A9" s="4">
        <v>42856.0</v>
      </c>
      <c r="B9" s="5">
        <v>15766.0</v>
      </c>
      <c r="C9" s="5">
        <v>18690.0</v>
      </c>
      <c r="D9" s="6">
        <v>1.1854623874159</v>
      </c>
    </row>
    <row r="10">
      <c r="A10" s="4">
        <v>42887.0</v>
      </c>
      <c r="B10" s="5">
        <v>15766.0</v>
      </c>
      <c r="C10" s="5">
        <v>23504.0</v>
      </c>
      <c r="D10" s="6">
        <v>1.490802993784</v>
      </c>
    </row>
    <row r="11">
      <c r="A11" s="4">
        <v>42917.0</v>
      </c>
      <c r="B11" s="5">
        <v>15766.0</v>
      </c>
      <c r="C11" s="5">
        <v>26312.0</v>
      </c>
      <c r="D11" s="6">
        <v>1.6689077762273</v>
      </c>
    </row>
    <row r="12">
      <c r="A12" s="4">
        <v>42948.0</v>
      </c>
      <c r="B12" s="5">
        <v>15766.0</v>
      </c>
      <c r="C12" s="5">
        <v>22976.0</v>
      </c>
      <c r="D12" s="6">
        <v>1.4573132056323</v>
      </c>
    </row>
    <row r="13">
      <c r="A13" s="4">
        <v>42979.0</v>
      </c>
      <c r="B13" s="5">
        <v>15766.0</v>
      </c>
      <c r="C13" s="5">
        <v>17439.0</v>
      </c>
      <c r="D13" s="6">
        <v>1.1061144234428</v>
      </c>
    </row>
    <row r="14">
      <c r="A14" s="4">
        <v>43009.0</v>
      </c>
      <c r="B14" s="5">
        <v>15766.0</v>
      </c>
      <c r="C14" s="5">
        <v>16458.0</v>
      </c>
      <c r="D14" s="6">
        <v>1.04389191932</v>
      </c>
    </row>
    <row r="15">
      <c r="A15" s="4">
        <v>43040.0</v>
      </c>
      <c r="B15" s="5">
        <v>15766.0</v>
      </c>
      <c r="C15" s="5">
        <v>15745.0</v>
      </c>
      <c r="D15" s="6">
        <v>0.9986680197894</v>
      </c>
    </row>
    <row r="16">
      <c r="A16" s="4">
        <v>43070.0</v>
      </c>
      <c r="B16" s="5">
        <v>15766.0</v>
      </c>
      <c r="C16" s="5">
        <v>21871.0</v>
      </c>
      <c r="D16" s="6">
        <v>1.3872256755042</v>
      </c>
    </row>
    <row r="17">
      <c r="A17" s="4">
        <v>43101.0</v>
      </c>
      <c r="B17" s="5">
        <v>15766.0</v>
      </c>
      <c r="C17" s="5">
        <v>13325.0</v>
      </c>
      <c r="D17" s="6">
        <v>0.8451731574273</v>
      </c>
    </row>
    <row r="18">
      <c r="A18" s="4">
        <v>43132.0</v>
      </c>
      <c r="B18" s="5">
        <v>16737.0</v>
      </c>
      <c r="C18" s="5">
        <v>13540.0</v>
      </c>
      <c r="D18" s="6">
        <v>0.8089860787476</v>
      </c>
    </row>
    <row r="19">
      <c r="A19" s="4">
        <v>43160.0</v>
      </c>
      <c r="B19" s="5">
        <v>16737.0</v>
      </c>
      <c r="C19" s="5">
        <v>19657.0</v>
      </c>
      <c r="D19" s="6">
        <v>1.1744637629204</v>
      </c>
    </row>
    <row r="20">
      <c r="A20" s="4">
        <v>43191.0</v>
      </c>
      <c r="B20" s="5">
        <v>16737.0</v>
      </c>
      <c r="C20" s="5">
        <v>15835.0</v>
      </c>
      <c r="D20" s="6">
        <v>0.9461074266594</v>
      </c>
    </row>
    <row r="21">
      <c r="A21" s="4">
        <v>43221.0</v>
      </c>
      <c r="B21" s="5">
        <v>16737.0</v>
      </c>
      <c r="C21" s="5">
        <v>27345.0</v>
      </c>
      <c r="D21" s="6">
        <v>1.633805341459</v>
      </c>
    </row>
    <row r="22">
      <c r="A22" s="4">
        <v>43252.0</v>
      </c>
      <c r="B22" s="5">
        <v>16737.0</v>
      </c>
      <c r="C22" s="5">
        <v>33840.0</v>
      </c>
      <c r="D22" s="6">
        <v>2.021867718229</v>
      </c>
    </row>
    <row r="23">
      <c r="A23" s="4">
        <v>43282.0</v>
      </c>
      <c r="B23" s="5">
        <v>16737.0</v>
      </c>
      <c r="C23" s="5">
        <v>37936.0</v>
      </c>
      <c r="D23" s="6">
        <v>2.2665949692298</v>
      </c>
    </row>
    <row r="24">
      <c r="A24" s="4">
        <v>43313.0</v>
      </c>
      <c r="B24" s="5">
        <v>16737.0</v>
      </c>
      <c r="C24" s="5">
        <v>32808.0</v>
      </c>
      <c r="D24" s="6">
        <v>1.9602079225667</v>
      </c>
    </row>
    <row r="25">
      <c r="A25" s="4">
        <v>43344.0</v>
      </c>
      <c r="B25" s="5">
        <v>16737.0</v>
      </c>
      <c r="C25" s="5">
        <v>22034.0</v>
      </c>
      <c r="D25" s="6">
        <v>1.3164844356814</v>
      </c>
    </row>
    <row r="26">
      <c r="A26" s="4">
        <v>43374.0</v>
      </c>
      <c r="B26" s="5">
        <v>16737.0</v>
      </c>
      <c r="C26" s="5">
        <v>20696.0</v>
      </c>
      <c r="D26" s="6">
        <v>1.2365417936308</v>
      </c>
    </row>
    <row r="27">
      <c r="A27" s="4">
        <v>43405.0</v>
      </c>
      <c r="B27" s="5">
        <v>16737.0</v>
      </c>
      <c r="C27" s="5">
        <v>19673.0</v>
      </c>
      <c r="D27" s="6">
        <v>1.1754197287446</v>
      </c>
    </row>
    <row r="28">
      <c r="A28" s="4">
        <v>43435.0</v>
      </c>
      <c r="B28" s="5">
        <v>16737.0</v>
      </c>
      <c r="C28" s="5">
        <v>28857.0</v>
      </c>
      <c r="D28" s="6">
        <v>1.724144111848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5.63"/>
  </cols>
  <sheetData>
    <row r="4">
      <c r="B4" s="10" t="s">
        <v>8</v>
      </c>
      <c r="C4" s="10" t="s">
        <v>9</v>
      </c>
    </row>
    <row r="5">
      <c r="B5" s="10" t="s">
        <v>10</v>
      </c>
      <c r="C5" s="11">
        <v>267115.0</v>
      </c>
    </row>
    <row r="6">
      <c r="B6" s="10" t="s">
        <v>11</v>
      </c>
      <c r="C6" s="11">
        <v>216464.0</v>
      </c>
    </row>
    <row r="7">
      <c r="B7" s="10" t="s">
        <v>12</v>
      </c>
      <c r="C7" s="11">
        <v>15828.0</v>
      </c>
    </row>
    <row r="8">
      <c r="B8" s="10" t="s">
        <v>13</v>
      </c>
      <c r="C8" s="11">
        <v>8213.0</v>
      </c>
    </row>
    <row r="9">
      <c r="B9" s="10" t="s">
        <v>14</v>
      </c>
      <c r="C9" s="11">
        <v>1188.0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25"/>
    <col customWidth="1" min="4" max="4" width="18.38"/>
    <col customWidth="1" min="5" max="5" width="15.25"/>
    <col customWidth="1" min="6" max="6" width="14.38"/>
    <col customWidth="1" min="8" max="8" width="13.25"/>
    <col customWidth="1" min="9" max="9" width="14.25"/>
    <col customWidth="1" min="13" max="13" width="17.0"/>
  </cols>
  <sheetData>
    <row r="2">
      <c r="A2" s="10" t="s">
        <v>2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</row>
    <row r="3">
      <c r="A3" s="4">
        <v>42736.0</v>
      </c>
      <c r="B3" s="5">
        <v>15766.0</v>
      </c>
      <c r="C3" s="5">
        <v>13059.0</v>
      </c>
      <c r="D3" s="6">
        <v>0.8283014080933</v>
      </c>
      <c r="E3" s="12">
        <v>1241.0</v>
      </c>
      <c r="F3" s="6">
        <v>26.9178344436786</v>
      </c>
      <c r="G3" s="5">
        <v>63293.0</v>
      </c>
      <c r="H3" s="6">
        <v>4.84669576537254</v>
      </c>
      <c r="I3" s="2" t="s">
        <v>25</v>
      </c>
      <c r="J3" s="2" t="s">
        <v>25</v>
      </c>
    </row>
    <row r="4">
      <c r="A4" s="4">
        <v>42767.0</v>
      </c>
      <c r="B4" s="5">
        <v>15766.0</v>
      </c>
      <c r="C4" s="5">
        <v>13368.0</v>
      </c>
      <c r="D4" s="6">
        <v>0.8479005454776</v>
      </c>
      <c r="E4" s="12">
        <v>1244.0</v>
      </c>
      <c r="F4" s="6">
        <v>26.7526929982046</v>
      </c>
      <c r="G4" s="5">
        <v>64389.0</v>
      </c>
      <c r="H4" s="6">
        <v>4.81665170556552</v>
      </c>
      <c r="I4" s="5">
        <v>13059.0</v>
      </c>
      <c r="J4" s="13">
        <v>0.023661842407535</v>
      </c>
    </row>
    <row r="5">
      <c r="A5" s="4">
        <v>42795.0</v>
      </c>
      <c r="B5" s="5">
        <v>15766.0</v>
      </c>
      <c r="C5" s="5">
        <v>18391.0</v>
      </c>
      <c r="D5" s="6">
        <v>1.1664975263224</v>
      </c>
      <c r="E5" s="12">
        <v>1724.0</v>
      </c>
      <c r="F5" s="6">
        <v>24.2396280789516</v>
      </c>
      <c r="G5" s="5">
        <v>80246.0</v>
      </c>
      <c r="H5" s="6">
        <v>4.36332988961992</v>
      </c>
      <c r="I5" s="5">
        <v>13368.0</v>
      </c>
      <c r="J5" s="13">
        <v>0.375748055056852</v>
      </c>
    </row>
    <row r="6">
      <c r="A6" s="4">
        <v>42826.0</v>
      </c>
      <c r="B6" s="5">
        <v>15766.0</v>
      </c>
      <c r="C6" s="5">
        <v>15449.0</v>
      </c>
      <c r="D6" s="6">
        <v>0.9798934415831</v>
      </c>
      <c r="E6" s="12">
        <v>1457.0</v>
      </c>
      <c r="F6" s="6">
        <v>27.0369603210563</v>
      </c>
      <c r="G6" s="5">
        <v>75197.0</v>
      </c>
      <c r="H6" s="6">
        <v>4.867434785423</v>
      </c>
      <c r="I6" s="5">
        <v>18391.0</v>
      </c>
      <c r="J6" s="13">
        <v>-0.159969550323527</v>
      </c>
    </row>
    <row r="7">
      <c r="A7" s="4">
        <v>42856.0</v>
      </c>
      <c r="B7" s="5">
        <v>15766.0</v>
      </c>
      <c r="C7" s="5">
        <v>18690.0</v>
      </c>
      <c r="D7" s="6">
        <v>1.1854623874159</v>
      </c>
      <c r="E7" s="12">
        <v>1745.0</v>
      </c>
      <c r="F7" s="6">
        <v>25.058962011771</v>
      </c>
      <c r="G7" s="5">
        <v>84306.0</v>
      </c>
      <c r="H7" s="6">
        <v>4.5107544141252</v>
      </c>
      <c r="I7" s="5">
        <v>15449.0</v>
      </c>
      <c r="J7" s="13">
        <v>0.209787041232442</v>
      </c>
    </row>
    <row r="8">
      <c r="A8" s="4">
        <v>42887.0</v>
      </c>
      <c r="B8" s="5">
        <v>15766.0</v>
      </c>
      <c r="C8" s="5">
        <v>23504.0</v>
      </c>
      <c r="D8" s="6">
        <v>1.490802993784</v>
      </c>
      <c r="E8" s="12">
        <v>2226.0</v>
      </c>
      <c r="F8" s="6">
        <v>24.6072157930565</v>
      </c>
      <c r="G8" s="5">
        <v>104121.0</v>
      </c>
      <c r="H8" s="6">
        <v>4.42992682096664</v>
      </c>
      <c r="I8" s="5">
        <v>18690.0</v>
      </c>
      <c r="J8" s="13">
        <v>0.257570893525949</v>
      </c>
    </row>
    <row r="9">
      <c r="A9" s="4">
        <v>42917.0</v>
      </c>
      <c r="B9" s="5">
        <v>15766.0</v>
      </c>
      <c r="C9" s="5">
        <v>26312.0</v>
      </c>
      <c r="D9" s="6">
        <v>1.6689077762273</v>
      </c>
      <c r="E9" s="12">
        <v>2464.0</v>
      </c>
      <c r="F9" s="6">
        <v>22.4101550623289</v>
      </c>
      <c r="G9" s="5">
        <v>106155.0</v>
      </c>
      <c r="H9" s="6">
        <v>4.03447096381878</v>
      </c>
      <c r="I9" s="5">
        <v>23504.0</v>
      </c>
      <c r="J9" s="13">
        <v>0.119469026548672</v>
      </c>
    </row>
    <row r="10">
      <c r="A10" s="4">
        <v>42948.0</v>
      </c>
      <c r="B10" s="5">
        <v>15766.0</v>
      </c>
      <c r="C10" s="5">
        <v>22976.0</v>
      </c>
      <c r="D10" s="6">
        <v>1.4573132056323</v>
      </c>
      <c r="E10" s="12">
        <v>2162.0</v>
      </c>
      <c r="F10" s="6">
        <v>23.7422963091922</v>
      </c>
      <c r="G10" s="5">
        <v>98197.0</v>
      </c>
      <c r="H10" s="6">
        <v>4.27389449860724</v>
      </c>
      <c r="I10" s="5">
        <v>26312.0</v>
      </c>
      <c r="J10" s="13">
        <v>-0.126786257221039</v>
      </c>
    </row>
    <row r="11">
      <c r="A11" s="4">
        <v>42979.0</v>
      </c>
      <c r="B11" s="5">
        <v>15766.0</v>
      </c>
      <c r="C11" s="5">
        <v>17439.0</v>
      </c>
      <c r="D11" s="6">
        <v>1.1061144234428</v>
      </c>
      <c r="E11" s="12">
        <v>1637.0</v>
      </c>
      <c r="F11" s="6">
        <v>27.3897585870749</v>
      </c>
      <c r="G11" s="5">
        <v>85987.0</v>
      </c>
      <c r="H11" s="6">
        <v>4.93072997304891</v>
      </c>
      <c r="I11" s="5">
        <v>22976.0</v>
      </c>
      <c r="J11" s="13">
        <v>-0.240990598885793</v>
      </c>
    </row>
    <row r="12">
      <c r="A12" s="4">
        <v>43009.0</v>
      </c>
      <c r="B12" s="5">
        <v>15766.0</v>
      </c>
      <c r="C12" s="5">
        <v>16458.0</v>
      </c>
      <c r="D12" s="6">
        <v>1.04389191932</v>
      </c>
      <c r="E12" s="12">
        <v>1545.0</v>
      </c>
      <c r="F12" s="6">
        <v>26.770202940819</v>
      </c>
      <c r="G12" s="5">
        <v>79313.0</v>
      </c>
      <c r="H12" s="6">
        <v>4.81911532385466</v>
      </c>
      <c r="I12" s="5">
        <v>17439.0</v>
      </c>
      <c r="J12" s="13">
        <v>-0.0562532255289867</v>
      </c>
    </row>
    <row r="13">
      <c r="A13" s="4">
        <v>43040.0</v>
      </c>
      <c r="B13" s="5">
        <v>15766.0</v>
      </c>
      <c r="C13" s="5">
        <v>15745.0</v>
      </c>
      <c r="D13" s="6">
        <v>0.9986680197894</v>
      </c>
      <c r="E13" s="12">
        <v>1492.0</v>
      </c>
      <c r="F13" s="6">
        <v>26.1651317878691</v>
      </c>
      <c r="G13" s="5">
        <v>74182.0</v>
      </c>
      <c r="H13" s="6">
        <v>4.71146395681168</v>
      </c>
      <c r="I13" s="5">
        <v>16458.0</v>
      </c>
      <c r="J13" s="13">
        <v>-0.0433223964029651</v>
      </c>
    </row>
    <row r="14">
      <c r="A14" s="4">
        <v>43070.0</v>
      </c>
      <c r="B14" s="5">
        <v>15766.0</v>
      </c>
      <c r="C14" s="5">
        <v>21871.0</v>
      </c>
      <c r="D14" s="6">
        <v>1.3872256755042</v>
      </c>
      <c r="E14" s="12">
        <v>2050.0</v>
      </c>
      <c r="F14" s="6">
        <v>25.1095057381921</v>
      </c>
      <c r="G14" s="5">
        <v>98866.0</v>
      </c>
      <c r="H14" s="6">
        <v>4.52041516162955</v>
      </c>
      <c r="I14" s="5">
        <v>15745.0</v>
      </c>
      <c r="J14" s="13">
        <v>0.389075897110193</v>
      </c>
    </row>
    <row r="15">
      <c r="A15" s="4">
        <v>43101.0</v>
      </c>
      <c r="B15" s="5">
        <v>15766.0</v>
      </c>
      <c r="C15" s="5">
        <v>13325.0</v>
      </c>
      <c r="D15" s="6">
        <v>0.8451731574273</v>
      </c>
      <c r="E15" s="12">
        <v>1255.0</v>
      </c>
      <c r="F15" s="6">
        <v>32.2975609756097</v>
      </c>
      <c r="G15" s="5">
        <v>77481.0</v>
      </c>
      <c r="H15" s="6">
        <v>5.81470919324577</v>
      </c>
      <c r="I15" s="5">
        <v>21871.0</v>
      </c>
      <c r="J15" s="13">
        <v>-0.39074573636322</v>
      </c>
    </row>
    <row r="16">
      <c r="A16" s="4">
        <v>43132.0</v>
      </c>
      <c r="B16" s="5">
        <v>16737.0</v>
      </c>
      <c r="C16" s="5">
        <v>13540.0</v>
      </c>
      <c r="D16" s="6">
        <v>0.8089860787476</v>
      </c>
      <c r="E16" s="12">
        <v>1200.0</v>
      </c>
      <c r="F16" s="6">
        <v>31.3038404726735</v>
      </c>
      <c r="G16" s="5">
        <v>76306.0</v>
      </c>
      <c r="H16" s="6">
        <v>5.63559822747415</v>
      </c>
      <c r="I16" s="5">
        <v>13325.0</v>
      </c>
      <c r="J16" s="13">
        <v>0.0161350844277673</v>
      </c>
    </row>
    <row r="17">
      <c r="A17" s="4">
        <v>43160.0</v>
      </c>
      <c r="B17" s="5">
        <v>16737.0</v>
      </c>
      <c r="C17" s="5">
        <v>19657.0</v>
      </c>
      <c r="D17" s="6">
        <v>1.1744637629204</v>
      </c>
      <c r="E17" s="12">
        <v>1754.0</v>
      </c>
      <c r="F17" s="6">
        <v>27.2179376303606</v>
      </c>
      <c r="G17" s="5">
        <v>96324.0</v>
      </c>
      <c r="H17" s="6">
        <v>4.90023910057485</v>
      </c>
      <c r="I17" s="5">
        <v>13540.0</v>
      </c>
      <c r="J17" s="13">
        <v>0.451772525849335</v>
      </c>
    </row>
    <row r="18">
      <c r="A18" s="4">
        <v>43191.0</v>
      </c>
      <c r="B18" s="5">
        <v>16737.0</v>
      </c>
      <c r="C18" s="5">
        <v>15835.0</v>
      </c>
      <c r="D18" s="6">
        <v>0.9461074266594</v>
      </c>
      <c r="E18" s="12">
        <v>1403.0</v>
      </c>
      <c r="F18" s="6">
        <v>30.7959583201768</v>
      </c>
      <c r="G18" s="5">
        <v>87791.0</v>
      </c>
      <c r="H18" s="6">
        <v>5.54411114619513</v>
      </c>
      <c r="I18" s="5">
        <v>19657.0</v>
      </c>
      <c r="J18" s="13">
        <v>-0.19443455257669</v>
      </c>
    </row>
    <row r="19">
      <c r="A19" s="4">
        <v>43221.0</v>
      </c>
      <c r="B19" s="5">
        <v>16737.0</v>
      </c>
      <c r="C19" s="5">
        <v>27345.0</v>
      </c>
      <c r="D19" s="6">
        <v>1.633805341459</v>
      </c>
      <c r="E19" s="12">
        <v>2420.0</v>
      </c>
      <c r="F19" s="6">
        <v>20.4195282501371</v>
      </c>
      <c r="G19" s="5">
        <v>100530.0</v>
      </c>
      <c r="H19" s="6">
        <v>3.67635765222161</v>
      </c>
      <c r="I19" s="5">
        <v>15835.0</v>
      </c>
      <c r="J19" s="13">
        <v>0.7268708556994</v>
      </c>
    </row>
    <row r="20">
      <c r="A20" s="4">
        <v>43252.0</v>
      </c>
      <c r="B20" s="5">
        <v>16737.0</v>
      </c>
      <c r="C20" s="5">
        <v>33840.0</v>
      </c>
      <c r="D20" s="6">
        <v>2.021867718229</v>
      </c>
      <c r="E20" s="12">
        <v>2988.0</v>
      </c>
      <c r="F20" s="6">
        <v>19.6196217494089</v>
      </c>
      <c r="G20" s="5">
        <v>119505.0</v>
      </c>
      <c r="H20" s="6">
        <v>3.53147163120567</v>
      </c>
      <c r="I20" s="5">
        <v>27345.0</v>
      </c>
      <c r="J20" s="13">
        <v>0.237520570488206</v>
      </c>
    </row>
    <row r="21">
      <c r="A21" s="4">
        <v>43282.0</v>
      </c>
      <c r="B21" s="5">
        <v>16737.0</v>
      </c>
      <c r="C21" s="5">
        <v>37936.0</v>
      </c>
      <c r="D21" s="6">
        <v>2.2665949692298</v>
      </c>
      <c r="E21" s="12">
        <v>3393.0</v>
      </c>
      <c r="F21" s="6">
        <v>18.3422079291438</v>
      </c>
      <c r="G21" s="5">
        <v>125280.0</v>
      </c>
      <c r="H21" s="6">
        <v>3.3024040489245</v>
      </c>
      <c r="I21" s="5">
        <v>33840.0</v>
      </c>
      <c r="J21" s="13">
        <v>0.121040189125295</v>
      </c>
    </row>
    <row r="22">
      <c r="A22" s="4">
        <v>43313.0</v>
      </c>
      <c r="B22" s="5">
        <v>16737.0</v>
      </c>
      <c r="C22" s="5">
        <v>32808.0</v>
      </c>
      <c r="D22" s="6">
        <v>1.9602079225667</v>
      </c>
      <c r="E22" s="12">
        <v>2904.0</v>
      </c>
      <c r="F22" s="6">
        <v>19.9672336015605</v>
      </c>
      <c r="G22" s="5">
        <v>117925.0</v>
      </c>
      <c r="H22" s="6">
        <v>3.59439770787612</v>
      </c>
      <c r="I22" s="5">
        <v>37936.0</v>
      </c>
      <c r="J22" s="13">
        <v>-0.135175031632222</v>
      </c>
    </row>
    <row r="23">
      <c r="A23" s="4">
        <v>43344.0</v>
      </c>
      <c r="B23" s="5">
        <v>16737.0</v>
      </c>
      <c r="C23" s="5">
        <v>22034.0</v>
      </c>
      <c r="D23" s="6">
        <v>1.3164844356814</v>
      </c>
      <c r="E23" s="12">
        <v>1971.0</v>
      </c>
      <c r="F23" s="6">
        <v>24.8137877825179</v>
      </c>
      <c r="G23" s="5">
        <v>98439.0</v>
      </c>
      <c r="H23" s="6">
        <v>4.46759553417445</v>
      </c>
      <c r="I23" s="5">
        <v>32808.0</v>
      </c>
      <c r="J23" s="13">
        <v>-0.328395513289441</v>
      </c>
    </row>
    <row r="24">
      <c r="A24" s="4">
        <v>43374.0</v>
      </c>
      <c r="B24" s="5">
        <v>16737.0</v>
      </c>
      <c r="C24" s="5">
        <v>20696.0</v>
      </c>
      <c r="D24" s="6">
        <v>1.2365417936308</v>
      </c>
      <c r="E24" s="12">
        <v>1827.0</v>
      </c>
      <c r="F24" s="6">
        <v>25.1623018940858</v>
      </c>
      <c r="G24" s="5">
        <v>93741.0</v>
      </c>
      <c r="H24" s="6">
        <v>4.52942597603401</v>
      </c>
      <c r="I24" s="5">
        <v>22034.0</v>
      </c>
      <c r="J24" s="13">
        <v>-0.0607243351184532</v>
      </c>
    </row>
    <row r="25">
      <c r="A25" s="4">
        <v>43405.0</v>
      </c>
      <c r="B25" s="5">
        <v>16737.0</v>
      </c>
      <c r="C25" s="5">
        <v>19673.0</v>
      </c>
      <c r="D25" s="6">
        <v>1.1754197287446</v>
      </c>
      <c r="E25" s="12">
        <v>1739.0</v>
      </c>
      <c r="F25" s="6">
        <v>25.3688303766583</v>
      </c>
      <c r="G25" s="5">
        <v>89844.0</v>
      </c>
      <c r="H25" s="6">
        <v>4.56686829665023</v>
      </c>
      <c r="I25" s="5">
        <v>20696.0</v>
      </c>
      <c r="J25" s="13">
        <v>-0.0494298415152686</v>
      </c>
    </row>
    <row r="26">
      <c r="A26" s="4">
        <v>43435.0</v>
      </c>
      <c r="B26" s="5">
        <v>16737.0</v>
      </c>
      <c r="C26" s="5">
        <v>28857.0</v>
      </c>
      <c r="D26" s="6">
        <v>1.724144111848</v>
      </c>
      <c r="E26" s="12">
        <v>2569.0</v>
      </c>
      <c r="F26" s="6">
        <v>22.5243788335585</v>
      </c>
      <c r="G26" s="5">
        <v>117036.0</v>
      </c>
      <c r="H26" s="6">
        <v>4.0557230481339</v>
      </c>
      <c r="I26" s="5">
        <v>19673.0</v>
      </c>
      <c r="J26" s="13">
        <v>0.466832714888425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0.25"/>
    <col customWidth="1" min="4" max="4" width="10.75"/>
    <col customWidth="1" min="7" max="7" width="14.0"/>
    <col customWidth="1" min="8" max="8" width="15.63"/>
  </cols>
  <sheetData>
    <row r="1">
      <c r="A1" s="15"/>
    </row>
    <row r="2">
      <c r="A2" s="10" t="s">
        <v>28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 t="s">
        <v>37</v>
      </c>
      <c r="K2" s="10" t="s">
        <v>38</v>
      </c>
      <c r="L2" s="15"/>
      <c r="M2" s="10" t="s">
        <v>28</v>
      </c>
      <c r="N2" s="10" t="s">
        <v>39</v>
      </c>
      <c r="O2" s="10" t="s">
        <v>28</v>
      </c>
      <c r="P2" s="10" t="s">
        <v>39</v>
      </c>
      <c r="Q2" s="10" t="s">
        <v>28</v>
      </c>
      <c r="R2" s="10" t="s">
        <v>39</v>
      </c>
      <c r="S2" s="15"/>
      <c r="T2" s="15"/>
      <c r="U2" s="15"/>
      <c r="V2" s="15"/>
      <c r="W2" s="15"/>
    </row>
    <row r="3">
      <c r="A3" s="10" t="s">
        <v>39</v>
      </c>
      <c r="B3" s="13">
        <v>0.493636852482</v>
      </c>
      <c r="C3" s="13">
        <v>0.506363147517</v>
      </c>
      <c r="D3" s="13">
        <v>0.59795662305</v>
      </c>
      <c r="E3" s="13">
        <v>0.258827746908</v>
      </c>
      <c r="F3" s="13">
        <v>0.143215630041</v>
      </c>
      <c r="G3" s="13">
        <v>0.647607098046</v>
      </c>
      <c r="H3" s="13">
        <v>0.245922208281</v>
      </c>
      <c r="I3" s="13">
        <v>0.040329808209</v>
      </c>
      <c r="J3" s="13">
        <v>0.042839218497</v>
      </c>
      <c r="K3" s="13">
        <v>0.023301666965</v>
      </c>
      <c r="M3" s="10" t="s">
        <v>29</v>
      </c>
      <c r="N3" s="13">
        <v>0.493636852482</v>
      </c>
      <c r="O3" s="10" t="s">
        <v>31</v>
      </c>
      <c r="P3" s="13">
        <v>0.59795662305</v>
      </c>
      <c r="Q3" s="10" t="s">
        <v>34</v>
      </c>
      <c r="R3" s="13">
        <v>0.647607098046</v>
      </c>
    </row>
    <row r="4">
      <c r="A4" s="10" t="s">
        <v>40</v>
      </c>
      <c r="B4" s="13">
        <v>0.50044810898</v>
      </c>
      <c r="C4" s="13">
        <v>0.499551891019</v>
      </c>
      <c r="D4" s="13">
        <v>0.549919340383</v>
      </c>
      <c r="E4" s="13">
        <v>0.301308478221</v>
      </c>
      <c r="F4" s="13">
        <v>0.148772181394</v>
      </c>
      <c r="G4" s="13">
        <v>0.573221007348</v>
      </c>
      <c r="H4" s="13">
        <v>0.288940670371</v>
      </c>
      <c r="I4" s="13">
        <v>0.04481089801</v>
      </c>
      <c r="J4" s="13">
        <v>0.053414590428</v>
      </c>
      <c r="K4" s="13">
        <v>0.039612833841</v>
      </c>
      <c r="M4" s="10" t="s">
        <v>30</v>
      </c>
      <c r="N4" s="13">
        <v>0.506363147517</v>
      </c>
      <c r="O4" s="10" t="s">
        <v>32</v>
      </c>
      <c r="P4" s="13">
        <v>0.258827746908</v>
      </c>
      <c r="Q4" s="10" t="s">
        <v>35</v>
      </c>
      <c r="R4" s="13">
        <v>0.245922208281</v>
      </c>
    </row>
    <row r="5">
      <c r="A5" s="10" t="s">
        <v>41</v>
      </c>
      <c r="B5" s="13">
        <v>0.498476429467</v>
      </c>
      <c r="C5" s="13">
        <v>0.501523570532</v>
      </c>
      <c r="D5" s="13">
        <v>0.59706040509</v>
      </c>
      <c r="E5" s="13">
        <v>0.243592041584</v>
      </c>
      <c r="F5" s="13">
        <v>0.159347553324</v>
      </c>
      <c r="G5" s="13">
        <v>0.65674852124</v>
      </c>
      <c r="H5" s="13">
        <v>0.22477146442</v>
      </c>
      <c r="I5" s="13">
        <v>0.046424090338</v>
      </c>
      <c r="J5" s="13">
        <v>0.04391468005</v>
      </c>
      <c r="K5" s="13">
        <v>0.02814124395</v>
      </c>
      <c r="O5" s="10" t="s">
        <v>33</v>
      </c>
      <c r="P5" s="13">
        <v>0.143215630041</v>
      </c>
      <c r="Q5" s="10" t="s">
        <v>36</v>
      </c>
      <c r="R5" s="13">
        <v>0.040329808209</v>
      </c>
    </row>
    <row r="6">
      <c r="A6" s="15"/>
      <c r="Q6" s="10" t="s">
        <v>37</v>
      </c>
      <c r="R6" s="13">
        <v>0.042839218497</v>
      </c>
    </row>
    <row r="7">
      <c r="A7" s="15"/>
      <c r="Q7" s="10" t="s">
        <v>38</v>
      </c>
      <c r="R7" s="13">
        <v>0.023301666965</v>
      </c>
    </row>
    <row r="8"/>
    <row r="9">
      <c r="M9" s="10" t="s">
        <v>28</v>
      </c>
      <c r="N9" s="10" t="s">
        <v>40</v>
      </c>
      <c r="O9" s="10" t="s">
        <v>28</v>
      </c>
      <c r="P9" s="10" t="s">
        <v>40</v>
      </c>
      <c r="Q9" s="10" t="s">
        <v>28</v>
      </c>
      <c r="R9" s="10" t="s">
        <v>40</v>
      </c>
    </row>
    <row r="10">
      <c r="M10" s="10" t="s">
        <v>29</v>
      </c>
      <c r="N10" s="13">
        <v>0.50044810898</v>
      </c>
      <c r="O10" s="10" t="s">
        <v>31</v>
      </c>
      <c r="P10" s="13">
        <v>0.549919340383</v>
      </c>
      <c r="Q10" s="10" t="s">
        <v>34</v>
      </c>
      <c r="R10" s="13">
        <v>0.573221007348</v>
      </c>
    </row>
    <row r="11">
      <c r="M11" s="10" t="s">
        <v>30</v>
      </c>
      <c r="N11" s="13">
        <v>0.499551891019</v>
      </c>
      <c r="O11" s="10" t="s">
        <v>32</v>
      </c>
      <c r="P11" s="13">
        <v>0.301308478221</v>
      </c>
      <c r="Q11" s="10" t="s">
        <v>35</v>
      </c>
      <c r="R11" s="13">
        <v>0.288940670371</v>
      </c>
    </row>
    <row r="12">
      <c r="A12" s="15"/>
      <c r="O12" s="10" t="s">
        <v>33</v>
      </c>
      <c r="P12" s="13">
        <v>0.148772181394</v>
      </c>
      <c r="Q12" s="10" t="s">
        <v>36</v>
      </c>
      <c r="R12" s="13">
        <v>0.04481089801</v>
      </c>
    </row>
    <row r="13">
      <c r="Q13" s="10" t="s">
        <v>37</v>
      </c>
      <c r="R13" s="13">
        <v>0.053414590428</v>
      </c>
    </row>
    <row r="14">
      <c r="Q14" s="10" t="s">
        <v>38</v>
      </c>
      <c r="R14" s="13">
        <v>0.039612833841</v>
      </c>
    </row>
    <row r="15"/>
    <row r="16"/>
    <row r="17">
      <c r="A17" s="15"/>
      <c r="M17" s="10" t="s">
        <v>28</v>
      </c>
      <c r="N17" s="10" t="s">
        <v>41</v>
      </c>
      <c r="O17" s="10" t="s">
        <v>28</v>
      </c>
      <c r="P17" s="10" t="s">
        <v>41</v>
      </c>
      <c r="Q17" s="10" t="s">
        <v>28</v>
      </c>
      <c r="R17" s="10" t="s">
        <v>41</v>
      </c>
    </row>
    <row r="18">
      <c r="M18" s="10" t="s">
        <v>29</v>
      </c>
      <c r="N18" s="13">
        <v>0.498476429467</v>
      </c>
      <c r="O18" s="10" t="s">
        <v>31</v>
      </c>
      <c r="P18" s="13">
        <v>0.59706040509</v>
      </c>
      <c r="Q18" s="10" t="s">
        <v>34</v>
      </c>
      <c r="R18" s="13">
        <v>0.65674852124</v>
      </c>
    </row>
    <row r="19">
      <c r="M19" s="10" t="s">
        <v>30</v>
      </c>
      <c r="N19" s="13">
        <v>0.501523570532</v>
      </c>
      <c r="O19" s="10" t="s">
        <v>32</v>
      </c>
      <c r="P19" s="13">
        <v>0.243592041584</v>
      </c>
      <c r="Q19" s="10" t="s">
        <v>35</v>
      </c>
      <c r="R19" s="13">
        <v>0.22477146442</v>
      </c>
    </row>
    <row r="20">
      <c r="O20" s="10" t="s">
        <v>33</v>
      </c>
      <c r="P20" s="13">
        <v>0.159347553324</v>
      </c>
      <c r="Q20" s="10" t="s">
        <v>36</v>
      </c>
      <c r="R20" s="13">
        <v>0.046424090338</v>
      </c>
    </row>
    <row r="21">
      <c r="Q21" s="10" t="s">
        <v>37</v>
      </c>
      <c r="R21" s="13">
        <v>0.04391468005</v>
      </c>
    </row>
    <row r="22">
      <c r="A22" s="15"/>
      <c r="Q22" s="10" t="s">
        <v>38</v>
      </c>
      <c r="R22" s="13">
        <v>0.02814124395</v>
      </c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2.75"/>
  </cols>
  <sheetData>
    <row r="3">
      <c r="A3" s="10" t="s">
        <v>53</v>
      </c>
      <c r="B3" s="10" t="s">
        <v>54</v>
      </c>
      <c r="C3" s="10" t="s">
        <v>55</v>
      </c>
      <c r="D3" s="10" t="s">
        <v>56</v>
      </c>
    </row>
    <row r="4">
      <c r="A4" s="2" t="s">
        <v>39</v>
      </c>
      <c r="B4" s="5">
        <v>60557.0</v>
      </c>
      <c r="C4" s="12">
        <v>2036.26184669643</v>
      </c>
      <c r="D4" s="5">
        <v>8061.79532472843</v>
      </c>
    </row>
    <row r="5">
      <c r="A5" s="2" t="s">
        <v>41</v>
      </c>
      <c r="B5" s="5">
        <v>61033.0</v>
      </c>
      <c r="C5" s="12">
        <v>2044.264856431</v>
      </c>
      <c r="D5" s="5">
        <v>10666.5029217025</v>
      </c>
    </row>
    <row r="6">
      <c r="A6" s="2" t="s">
        <v>40</v>
      </c>
      <c r="B6" s="5">
        <v>57814.0</v>
      </c>
      <c r="C6" s="12">
        <v>2012.63047677706</v>
      </c>
      <c r="D6" s="5">
        <v>6720.53805812001</v>
      </c>
    </row>
    <row r="20"/>
    <row r="21"/>
    <row r="22"/>
    <row r="23"/>
    <row r="34"/>
    <row r="35"/>
    <row r="36"/>
    <row r="37"/>
  </sheetData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5" max="5" width="17.5"/>
    <col customWidth="1" min="6" max="6" width="16.88"/>
  </cols>
  <sheetData>
    <row r="2">
      <c r="A2" s="2" t="s">
        <v>57</v>
      </c>
      <c r="B2" s="2" t="s">
        <v>15</v>
      </c>
      <c r="C2" s="2" t="s">
        <v>16</v>
      </c>
      <c r="D2" s="2" t="s">
        <v>58</v>
      </c>
      <c r="E2" s="2" t="s">
        <v>59</v>
      </c>
      <c r="F2" s="2" t="s">
        <v>60</v>
      </c>
    </row>
    <row r="3">
      <c r="A3" s="2" t="s">
        <v>39</v>
      </c>
      <c r="B3" s="2">
        <v>5671.0</v>
      </c>
      <c r="C3" s="2">
        <v>172817.0</v>
      </c>
      <c r="D3" s="2">
        <v>2.71362435E8</v>
      </c>
      <c r="E3" s="2">
        <v>4118923.0</v>
      </c>
      <c r="F3" s="2">
        <v>741527.0</v>
      </c>
    </row>
    <row r="4">
      <c r="A4" s="2" t="s">
        <v>41</v>
      </c>
      <c r="B4" s="2">
        <v>3429.0</v>
      </c>
      <c r="C4" s="2">
        <v>104940.0</v>
      </c>
      <c r="D4" s="2">
        <v>1.657408175E8</v>
      </c>
      <c r="E4" s="2">
        <v>2556575.0</v>
      </c>
      <c r="F4" s="2">
        <v>460228.0</v>
      </c>
    </row>
    <row r="5">
      <c r="A5" s="2" t="s">
        <v>40</v>
      </c>
      <c r="B5" s="2">
        <v>7637.0</v>
      </c>
      <c r="C5" s="2">
        <v>231051.0</v>
      </c>
      <c r="D5" s="2">
        <v>3.5944574E8</v>
      </c>
      <c r="E5" s="2">
        <v>5625074.0</v>
      </c>
      <c r="F5" s="2">
        <v>1012699.0</v>
      </c>
    </row>
    <row r="7">
      <c r="A7" s="17" t="s">
        <v>2</v>
      </c>
      <c r="B7" s="17" t="s">
        <v>57</v>
      </c>
      <c r="C7" s="17" t="s">
        <v>16</v>
      </c>
    </row>
    <row r="8">
      <c r="A8" s="18">
        <v>42948.0</v>
      </c>
      <c r="B8" s="17" t="s">
        <v>41</v>
      </c>
      <c r="C8" s="17">
        <v>4519.0</v>
      </c>
    </row>
    <row r="9">
      <c r="A9" s="18">
        <v>42979.0</v>
      </c>
      <c r="B9" s="17" t="s">
        <v>41</v>
      </c>
      <c r="C9" s="17">
        <v>3732.0</v>
      </c>
      <c r="E9" s="2" t="s">
        <v>2</v>
      </c>
      <c r="F9" s="2" t="s">
        <v>57</v>
      </c>
      <c r="G9" s="2" t="s">
        <v>15</v>
      </c>
      <c r="H9" s="2" t="s">
        <v>16</v>
      </c>
      <c r="I9" s="2" t="s">
        <v>58</v>
      </c>
      <c r="J9" s="2" t="s">
        <v>59</v>
      </c>
      <c r="K9" s="2" t="s">
        <v>60</v>
      </c>
    </row>
    <row r="10">
      <c r="A10" s="18">
        <v>42917.0</v>
      </c>
      <c r="B10" s="17" t="s">
        <v>41</v>
      </c>
      <c r="C10" s="17">
        <v>5471.0</v>
      </c>
      <c r="E10" s="4">
        <v>43282.0</v>
      </c>
      <c r="F10" s="2" t="s">
        <v>41</v>
      </c>
      <c r="G10" s="2">
        <v>3429.0</v>
      </c>
      <c r="H10" s="2">
        <v>7967.0</v>
      </c>
      <c r="I10" s="2">
        <v>1.3957321E7</v>
      </c>
      <c r="J10" s="2">
        <v>133865.0</v>
      </c>
      <c r="K10" s="2">
        <v>24100.0</v>
      </c>
    </row>
    <row r="11">
      <c r="A11" s="18">
        <v>43252.0</v>
      </c>
      <c r="B11" s="17" t="s">
        <v>41</v>
      </c>
      <c r="C11" s="17">
        <v>6929.0</v>
      </c>
      <c r="E11" s="4">
        <v>42767.0</v>
      </c>
      <c r="F11" s="2" t="s">
        <v>41</v>
      </c>
      <c r="G11" s="2">
        <v>3221.0</v>
      </c>
      <c r="H11" s="2">
        <v>2740.0</v>
      </c>
      <c r="I11" s="2">
        <v>4126879.0</v>
      </c>
      <c r="J11" s="2">
        <v>63852.0</v>
      </c>
      <c r="K11" s="2">
        <v>11494.0</v>
      </c>
    </row>
    <row r="12">
      <c r="A12" s="18">
        <v>43435.0</v>
      </c>
      <c r="B12" s="17" t="s">
        <v>41</v>
      </c>
      <c r="C12" s="17">
        <v>5955.0</v>
      </c>
      <c r="E12" s="4">
        <v>42979.0</v>
      </c>
      <c r="F12" s="2" t="s">
        <v>41</v>
      </c>
      <c r="G12" s="2">
        <v>3221.0</v>
      </c>
      <c r="H12" s="2">
        <v>3732.0</v>
      </c>
      <c r="I12" s="2">
        <v>5614423.0</v>
      </c>
      <c r="J12" s="2">
        <v>94822.0</v>
      </c>
      <c r="K12" s="2">
        <v>17071.0</v>
      </c>
    </row>
    <row r="13">
      <c r="A13" s="18">
        <v>43221.0</v>
      </c>
      <c r="B13" s="17" t="s">
        <v>41</v>
      </c>
      <c r="C13" s="17">
        <v>5494.0</v>
      </c>
      <c r="E13" s="4">
        <v>43191.0</v>
      </c>
      <c r="F13" s="2" t="s">
        <v>41</v>
      </c>
      <c r="G13" s="2">
        <v>3429.0</v>
      </c>
      <c r="H13" s="2">
        <v>3327.0</v>
      </c>
      <c r="I13" s="2">
        <v>5232523.0</v>
      </c>
      <c r="J13" s="2">
        <v>95945.0</v>
      </c>
      <c r="K13" s="2">
        <v>17269.0</v>
      </c>
    </row>
    <row r="14">
      <c r="A14" s="18">
        <v>43160.0</v>
      </c>
      <c r="B14" s="17" t="s">
        <v>41</v>
      </c>
      <c r="C14" s="17">
        <v>3963.0</v>
      </c>
      <c r="E14" s="4">
        <v>42887.0</v>
      </c>
      <c r="F14" s="2" t="s">
        <v>41</v>
      </c>
      <c r="G14" s="2">
        <v>3221.0</v>
      </c>
      <c r="H14" s="2">
        <v>4878.0</v>
      </c>
      <c r="I14" s="2">
        <v>7486868.0</v>
      </c>
      <c r="J14" s="2">
        <v>120769.0</v>
      </c>
      <c r="K14" s="2">
        <v>21743.0</v>
      </c>
    </row>
    <row r="15">
      <c r="A15" s="18">
        <v>43191.0</v>
      </c>
      <c r="B15" s="17" t="s">
        <v>41</v>
      </c>
      <c r="C15" s="17">
        <v>3327.0</v>
      </c>
      <c r="E15" s="4">
        <v>43374.0</v>
      </c>
      <c r="F15" s="2" t="s">
        <v>41</v>
      </c>
      <c r="G15" s="2">
        <v>3429.0</v>
      </c>
      <c r="H15" s="2">
        <v>4358.0</v>
      </c>
      <c r="I15" s="2">
        <v>6997485.0</v>
      </c>
      <c r="J15" s="2">
        <v>111534.0</v>
      </c>
      <c r="K15" s="2">
        <v>20071.0</v>
      </c>
    </row>
    <row r="16">
      <c r="A16" s="18">
        <v>43070.0</v>
      </c>
      <c r="B16" s="17" t="s">
        <v>41</v>
      </c>
      <c r="C16" s="17">
        <v>4585.0</v>
      </c>
      <c r="E16" s="4">
        <v>42856.0</v>
      </c>
      <c r="F16" s="2" t="s">
        <v>41</v>
      </c>
      <c r="G16" s="2">
        <v>3221.0</v>
      </c>
      <c r="H16" s="2">
        <v>3965.0</v>
      </c>
      <c r="I16" s="2">
        <v>5924239.0</v>
      </c>
      <c r="J16" s="2">
        <v>94915.0</v>
      </c>
      <c r="K16" s="2">
        <v>17079.0</v>
      </c>
    </row>
    <row r="17">
      <c r="A17" s="18">
        <v>42856.0</v>
      </c>
      <c r="B17" s="17" t="s">
        <v>41</v>
      </c>
      <c r="C17" s="17">
        <v>3965.0</v>
      </c>
      <c r="E17" s="4">
        <v>43405.0</v>
      </c>
      <c r="F17" s="2" t="s">
        <v>41</v>
      </c>
      <c r="G17" s="2">
        <v>3429.0</v>
      </c>
      <c r="H17" s="2">
        <v>4098.0</v>
      </c>
      <c r="I17" s="2">
        <v>6494375.0</v>
      </c>
      <c r="J17" s="2">
        <v>102638.0</v>
      </c>
      <c r="K17" s="2">
        <v>18473.0</v>
      </c>
    </row>
    <row r="18">
      <c r="A18" s="18">
        <v>42887.0</v>
      </c>
      <c r="B18" s="17" t="s">
        <v>41</v>
      </c>
      <c r="C18" s="17">
        <v>4878.0</v>
      </c>
      <c r="E18" s="4">
        <v>43313.0</v>
      </c>
      <c r="F18" s="2" t="s">
        <v>41</v>
      </c>
      <c r="G18" s="2">
        <v>3429.0</v>
      </c>
      <c r="H18" s="2">
        <v>6665.0</v>
      </c>
      <c r="I18" s="2">
        <v>1.1013814E7</v>
      </c>
      <c r="J18" s="2">
        <v>127028.0</v>
      </c>
      <c r="K18" s="2">
        <v>22866.0</v>
      </c>
    </row>
    <row r="19">
      <c r="A19" s="18">
        <v>43405.0</v>
      </c>
      <c r="B19" s="17" t="s">
        <v>41</v>
      </c>
      <c r="C19" s="17">
        <v>4098.0</v>
      </c>
      <c r="E19" s="4">
        <v>42795.0</v>
      </c>
      <c r="F19" s="2" t="s">
        <v>41</v>
      </c>
      <c r="G19" s="2">
        <v>3221.0</v>
      </c>
      <c r="H19" s="2">
        <v>3774.0</v>
      </c>
      <c r="I19" s="2">
        <v>5685194.0</v>
      </c>
      <c r="J19" s="2">
        <v>87022.0</v>
      </c>
      <c r="K19" s="2">
        <v>15662.0</v>
      </c>
    </row>
    <row r="20">
      <c r="A20" s="18">
        <v>43132.0</v>
      </c>
      <c r="B20" s="17" t="s">
        <v>41</v>
      </c>
      <c r="C20" s="17">
        <v>2762.0</v>
      </c>
      <c r="E20" s="4">
        <v>43070.0</v>
      </c>
      <c r="F20" s="2" t="s">
        <v>41</v>
      </c>
      <c r="G20" s="2">
        <v>3221.0</v>
      </c>
      <c r="H20" s="2">
        <v>4585.0</v>
      </c>
      <c r="I20" s="2">
        <v>6888171.0</v>
      </c>
      <c r="J20" s="2">
        <v>124717.0</v>
      </c>
      <c r="K20" s="2">
        <v>22456.0</v>
      </c>
    </row>
    <row r="21">
      <c r="A21" s="18">
        <v>42795.0</v>
      </c>
      <c r="B21" s="17" t="s">
        <v>41</v>
      </c>
      <c r="C21" s="17">
        <v>3774.0</v>
      </c>
      <c r="E21" s="4">
        <v>43101.0</v>
      </c>
      <c r="F21" s="2" t="s">
        <v>41</v>
      </c>
      <c r="G21" s="2">
        <v>3221.0</v>
      </c>
      <c r="H21" s="2">
        <v>2731.0</v>
      </c>
      <c r="I21" s="2">
        <v>4111550.0</v>
      </c>
      <c r="J21" s="2">
        <v>95832.0</v>
      </c>
      <c r="K21" s="2">
        <v>17263.0</v>
      </c>
    </row>
    <row r="22">
      <c r="A22" s="18">
        <v>43374.0</v>
      </c>
      <c r="B22" s="17" t="s">
        <v>41</v>
      </c>
      <c r="C22" s="17">
        <v>4358.0</v>
      </c>
      <c r="E22" s="4">
        <v>43252.0</v>
      </c>
      <c r="F22" s="2" t="s">
        <v>41</v>
      </c>
      <c r="G22" s="2">
        <v>3429.0</v>
      </c>
      <c r="H22" s="2">
        <v>6929.0</v>
      </c>
      <c r="I22" s="2">
        <v>1.1554089E7</v>
      </c>
      <c r="J22" s="2">
        <v>140599.0</v>
      </c>
      <c r="K22" s="2">
        <v>25305.0</v>
      </c>
    </row>
    <row r="23">
      <c r="A23" s="18">
        <v>42826.0</v>
      </c>
      <c r="B23" s="17" t="s">
        <v>41</v>
      </c>
      <c r="C23" s="17">
        <v>3109.0</v>
      </c>
      <c r="E23" s="4">
        <v>42826.0</v>
      </c>
      <c r="F23" s="2" t="s">
        <v>41</v>
      </c>
      <c r="G23" s="2">
        <v>3221.0</v>
      </c>
      <c r="H23" s="2">
        <v>3109.0</v>
      </c>
      <c r="I23" s="2">
        <v>4593267.0</v>
      </c>
      <c r="J23" s="2">
        <v>94884.0</v>
      </c>
      <c r="K23" s="2">
        <v>17084.0</v>
      </c>
    </row>
    <row r="24">
      <c r="A24" s="18">
        <v>43101.0</v>
      </c>
      <c r="B24" s="17" t="s">
        <v>41</v>
      </c>
      <c r="C24" s="17">
        <v>2731.0</v>
      </c>
      <c r="E24" s="4">
        <v>43221.0</v>
      </c>
      <c r="F24" s="2" t="s">
        <v>41</v>
      </c>
      <c r="G24" s="2">
        <v>3429.0</v>
      </c>
      <c r="H24" s="2">
        <v>5494.0</v>
      </c>
      <c r="I24" s="2">
        <v>9236189.0</v>
      </c>
      <c r="J24" s="2">
        <v>127327.0</v>
      </c>
      <c r="K24" s="2">
        <v>22914.0</v>
      </c>
    </row>
    <row r="25">
      <c r="A25" s="18">
        <v>43282.0</v>
      </c>
      <c r="B25" s="17" t="s">
        <v>41</v>
      </c>
      <c r="C25" s="17">
        <v>7967.0</v>
      </c>
      <c r="E25" s="4">
        <v>43132.0</v>
      </c>
      <c r="F25" s="2" t="s">
        <v>41</v>
      </c>
      <c r="G25" s="2">
        <v>3429.0</v>
      </c>
      <c r="H25" s="2">
        <v>2762.0</v>
      </c>
      <c r="I25" s="2">
        <v>4242387.0</v>
      </c>
      <c r="J25" s="2">
        <v>89176.0</v>
      </c>
      <c r="K25" s="2">
        <v>16048.0</v>
      </c>
    </row>
    <row r="26">
      <c r="A26" s="18">
        <v>43313.0</v>
      </c>
      <c r="B26" s="17" t="s">
        <v>41</v>
      </c>
      <c r="C26" s="17">
        <v>6665.0</v>
      </c>
      <c r="E26" s="4">
        <v>43009.0</v>
      </c>
      <c r="F26" s="2" t="s">
        <v>41</v>
      </c>
      <c r="G26" s="2">
        <v>3221.0</v>
      </c>
      <c r="H26" s="2">
        <v>3369.0</v>
      </c>
      <c r="I26" s="2">
        <v>5061547.0</v>
      </c>
      <c r="J26" s="2">
        <v>85155.0</v>
      </c>
      <c r="K26" s="2">
        <v>15330.0</v>
      </c>
    </row>
    <row r="27">
      <c r="A27" s="18">
        <v>43040.0</v>
      </c>
      <c r="B27" s="17" t="s">
        <v>41</v>
      </c>
      <c r="C27" s="17">
        <v>3213.0</v>
      </c>
      <c r="E27" s="4">
        <v>43344.0</v>
      </c>
      <c r="F27" s="2" t="s">
        <v>41</v>
      </c>
      <c r="G27" s="2">
        <v>3429.0</v>
      </c>
      <c r="H27" s="2">
        <v>4648.0</v>
      </c>
      <c r="I27" s="2">
        <v>7558425.0</v>
      </c>
      <c r="J27" s="2">
        <v>116578.0</v>
      </c>
      <c r="K27" s="2">
        <v>20993.0</v>
      </c>
    </row>
    <row r="28">
      <c r="A28" s="18">
        <v>43009.0</v>
      </c>
      <c r="B28" s="17" t="s">
        <v>41</v>
      </c>
      <c r="C28" s="17">
        <v>3369.0</v>
      </c>
      <c r="E28" s="4">
        <v>43160.0</v>
      </c>
      <c r="F28" s="2" t="s">
        <v>41</v>
      </c>
      <c r="G28" s="2">
        <v>3429.0</v>
      </c>
      <c r="H28" s="2">
        <v>3963.0</v>
      </c>
      <c r="I28" s="2">
        <v>6225418.5</v>
      </c>
      <c r="J28" s="2">
        <v>116124.0</v>
      </c>
      <c r="K28" s="2">
        <v>20906.0</v>
      </c>
    </row>
    <row r="29">
      <c r="A29" s="18">
        <v>43344.0</v>
      </c>
      <c r="B29" s="17" t="s">
        <v>41</v>
      </c>
      <c r="C29" s="17">
        <v>4648.0</v>
      </c>
      <c r="E29" s="4">
        <v>42736.0</v>
      </c>
      <c r="F29" s="2" t="s">
        <v>41</v>
      </c>
      <c r="G29" s="2">
        <v>3221.0</v>
      </c>
      <c r="H29" s="2">
        <v>2688.0</v>
      </c>
      <c r="I29" s="2">
        <v>4074884.0</v>
      </c>
      <c r="J29" s="2">
        <v>78829.0</v>
      </c>
      <c r="K29" s="2">
        <v>14197.0</v>
      </c>
    </row>
    <row r="30">
      <c r="A30" s="18">
        <v>42736.0</v>
      </c>
      <c r="B30" s="17" t="s">
        <v>41</v>
      </c>
      <c r="C30" s="17">
        <v>2688.0</v>
      </c>
      <c r="E30" s="4">
        <v>43435.0</v>
      </c>
      <c r="F30" s="2" t="s">
        <v>41</v>
      </c>
      <c r="G30" s="2">
        <v>3429.0</v>
      </c>
      <c r="H30" s="2">
        <v>5955.0</v>
      </c>
      <c r="I30" s="2">
        <v>9847618.0</v>
      </c>
      <c r="J30" s="2">
        <v>121880.0</v>
      </c>
      <c r="K30" s="2">
        <v>21945.0</v>
      </c>
    </row>
    <row r="31">
      <c r="A31" s="18">
        <v>42767.0</v>
      </c>
      <c r="B31" s="17" t="s">
        <v>41</v>
      </c>
      <c r="C31" s="17">
        <v>2740.0</v>
      </c>
      <c r="E31" s="4">
        <v>42917.0</v>
      </c>
      <c r="F31" s="2" t="s">
        <v>41</v>
      </c>
      <c r="G31" s="2">
        <v>3221.0</v>
      </c>
      <c r="H31" s="2">
        <v>5471.0</v>
      </c>
      <c r="I31" s="2">
        <v>8137241.0</v>
      </c>
      <c r="J31" s="2">
        <v>132025.0</v>
      </c>
      <c r="K31" s="2">
        <v>23765.0</v>
      </c>
    </row>
    <row r="32">
      <c r="A32" s="18">
        <v>43040.0</v>
      </c>
      <c r="B32" s="17" t="s">
        <v>39</v>
      </c>
      <c r="C32" s="17">
        <v>5366.0</v>
      </c>
      <c r="E32" s="4">
        <v>43040.0</v>
      </c>
      <c r="F32" s="2" t="s">
        <v>41</v>
      </c>
      <c r="G32" s="2">
        <v>3221.0</v>
      </c>
      <c r="H32" s="2">
        <v>3213.0</v>
      </c>
      <c r="I32" s="2">
        <v>4858784.0</v>
      </c>
      <c r="J32" s="2">
        <v>83137.0</v>
      </c>
      <c r="K32" s="2">
        <v>14968.0</v>
      </c>
    </row>
    <row r="33">
      <c r="A33" s="18">
        <v>43070.0</v>
      </c>
      <c r="B33" s="17" t="s">
        <v>39</v>
      </c>
      <c r="C33" s="17">
        <v>7276.0</v>
      </c>
      <c r="E33" s="4">
        <v>42948.0</v>
      </c>
      <c r="F33" s="2" t="s">
        <v>41</v>
      </c>
      <c r="G33" s="2">
        <v>3221.0</v>
      </c>
      <c r="H33" s="2">
        <v>4519.0</v>
      </c>
      <c r="I33" s="2">
        <v>6818126.0</v>
      </c>
      <c r="J33" s="2">
        <v>117922.0</v>
      </c>
      <c r="K33" s="2">
        <v>21226.0</v>
      </c>
    </row>
    <row r="34">
      <c r="A34" s="18">
        <v>42826.0</v>
      </c>
      <c r="B34" s="17" t="s">
        <v>39</v>
      </c>
      <c r="C34" s="17">
        <v>5243.0</v>
      </c>
      <c r="E34" s="4">
        <v>43160.0</v>
      </c>
      <c r="F34" s="2" t="s">
        <v>39</v>
      </c>
      <c r="G34" s="2">
        <v>5671.0</v>
      </c>
      <c r="H34" s="2">
        <v>6608.0</v>
      </c>
      <c r="I34" s="2">
        <v>1.0123145E7</v>
      </c>
      <c r="J34" s="2">
        <v>190405.0</v>
      </c>
      <c r="K34" s="2">
        <v>34280.0</v>
      </c>
    </row>
    <row r="35">
      <c r="A35" s="18">
        <v>43344.0</v>
      </c>
      <c r="B35" s="17" t="s">
        <v>39</v>
      </c>
      <c r="C35" s="17">
        <v>7419.0</v>
      </c>
      <c r="E35" s="4">
        <v>42917.0</v>
      </c>
      <c r="F35" s="2" t="s">
        <v>39</v>
      </c>
      <c r="G35" s="2">
        <v>5341.0</v>
      </c>
      <c r="H35" s="2">
        <v>8906.0</v>
      </c>
      <c r="I35" s="2">
        <v>1.3350577E7</v>
      </c>
      <c r="J35" s="2">
        <v>194349.0</v>
      </c>
      <c r="K35" s="2">
        <v>34985.0</v>
      </c>
    </row>
    <row r="36">
      <c r="A36" s="18">
        <v>42736.0</v>
      </c>
      <c r="B36" s="17" t="s">
        <v>39</v>
      </c>
      <c r="C36" s="17">
        <v>4404.0</v>
      </c>
      <c r="E36" s="4">
        <v>42948.0</v>
      </c>
      <c r="F36" s="2" t="s">
        <v>39</v>
      </c>
      <c r="G36" s="2">
        <v>5341.0</v>
      </c>
      <c r="H36" s="2">
        <v>7826.0</v>
      </c>
      <c r="I36" s="2">
        <v>1.1874053E7</v>
      </c>
      <c r="J36" s="2">
        <v>170106.0</v>
      </c>
      <c r="K36" s="2">
        <v>30624.0</v>
      </c>
    </row>
    <row r="37">
      <c r="A37" s="18">
        <v>42767.0</v>
      </c>
      <c r="B37" s="17" t="s">
        <v>39</v>
      </c>
      <c r="C37" s="17">
        <v>4536.0</v>
      </c>
      <c r="E37" s="4">
        <v>42767.0</v>
      </c>
      <c r="F37" s="2" t="s">
        <v>39</v>
      </c>
      <c r="G37" s="2">
        <v>5341.0</v>
      </c>
      <c r="H37" s="2">
        <v>4536.0</v>
      </c>
      <c r="I37" s="2">
        <v>6778994.0</v>
      </c>
      <c r="J37" s="2">
        <v>125799.0</v>
      </c>
      <c r="K37" s="2">
        <v>22647.0</v>
      </c>
    </row>
    <row r="38">
      <c r="A38" s="18">
        <v>43009.0</v>
      </c>
      <c r="B38" s="17" t="s">
        <v>39</v>
      </c>
      <c r="C38" s="17">
        <v>5673.0</v>
      </c>
      <c r="E38" s="4">
        <v>43435.0</v>
      </c>
      <c r="F38" s="2" t="s">
        <v>39</v>
      </c>
      <c r="G38" s="2">
        <v>5671.0</v>
      </c>
      <c r="H38" s="2">
        <v>9945.0</v>
      </c>
      <c r="I38" s="2">
        <v>1.6242158E7</v>
      </c>
      <c r="J38" s="2">
        <v>228230.0</v>
      </c>
      <c r="K38" s="2">
        <v>41097.0</v>
      </c>
    </row>
    <row r="39">
      <c r="A39" s="18">
        <v>43313.0</v>
      </c>
      <c r="B39" s="17" t="s">
        <v>39</v>
      </c>
      <c r="C39" s="17">
        <v>11421.0</v>
      </c>
      <c r="E39" s="4">
        <v>43374.0</v>
      </c>
      <c r="F39" s="2" t="s">
        <v>39</v>
      </c>
      <c r="G39" s="2">
        <v>5671.0</v>
      </c>
      <c r="H39" s="2">
        <v>7076.0</v>
      </c>
      <c r="I39" s="2">
        <v>1.1271147E7</v>
      </c>
      <c r="J39" s="2">
        <v>164150.0</v>
      </c>
      <c r="K39" s="2">
        <v>29550.0</v>
      </c>
    </row>
    <row r="40">
      <c r="A40" s="18">
        <v>43282.0</v>
      </c>
      <c r="B40" s="17" t="s">
        <v>39</v>
      </c>
      <c r="C40" s="17">
        <v>12694.0</v>
      </c>
      <c r="E40" s="4">
        <v>42856.0</v>
      </c>
      <c r="F40" s="2" t="s">
        <v>39</v>
      </c>
      <c r="G40" s="2">
        <v>5341.0</v>
      </c>
      <c r="H40" s="2">
        <v>6386.0</v>
      </c>
      <c r="I40" s="2">
        <v>9437727.0</v>
      </c>
      <c r="J40" s="2">
        <v>163520.0</v>
      </c>
      <c r="K40" s="2">
        <v>29439.0</v>
      </c>
    </row>
    <row r="41">
      <c r="A41" s="18">
        <v>43101.0</v>
      </c>
      <c r="B41" s="17" t="s">
        <v>39</v>
      </c>
      <c r="C41" s="17">
        <v>4646.0</v>
      </c>
      <c r="E41" s="4">
        <v>42736.0</v>
      </c>
      <c r="F41" s="2" t="s">
        <v>39</v>
      </c>
      <c r="G41" s="2">
        <v>5341.0</v>
      </c>
      <c r="H41" s="2">
        <v>4404.0</v>
      </c>
      <c r="I41" s="2">
        <v>6715683.0</v>
      </c>
      <c r="J41" s="2">
        <v>119059.0</v>
      </c>
      <c r="K41" s="2">
        <v>21434.0</v>
      </c>
    </row>
    <row r="42">
      <c r="A42" s="18">
        <v>42795.0</v>
      </c>
      <c r="B42" s="17" t="s">
        <v>39</v>
      </c>
      <c r="C42" s="17">
        <v>6286.0</v>
      </c>
      <c r="E42" s="4">
        <v>42979.0</v>
      </c>
      <c r="F42" s="2" t="s">
        <v>39</v>
      </c>
      <c r="G42" s="2">
        <v>5341.0</v>
      </c>
      <c r="H42" s="2">
        <v>5691.0</v>
      </c>
      <c r="I42" s="2">
        <v>8459560.0</v>
      </c>
      <c r="J42" s="2">
        <v>161738.0</v>
      </c>
      <c r="K42" s="2">
        <v>29117.0</v>
      </c>
    </row>
    <row r="43">
      <c r="A43" s="18">
        <v>43132.0</v>
      </c>
      <c r="B43" s="17" t="s">
        <v>39</v>
      </c>
      <c r="C43" s="17">
        <v>4558.0</v>
      </c>
      <c r="E43" s="4">
        <v>43070.0</v>
      </c>
      <c r="F43" s="2" t="s">
        <v>39</v>
      </c>
      <c r="G43" s="2">
        <v>5341.0</v>
      </c>
      <c r="H43" s="2">
        <v>7276.0</v>
      </c>
      <c r="I43" s="2">
        <v>1.0954463E7</v>
      </c>
      <c r="J43" s="2">
        <v>185677.0</v>
      </c>
      <c r="K43" s="2">
        <v>33430.0</v>
      </c>
    </row>
    <row r="44">
      <c r="A44" s="18">
        <v>43374.0</v>
      </c>
      <c r="B44" s="17" t="s">
        <v>39</v>
      </c>
      <c r="C44" s="17">
        <v>7076.0</v>
      </c>
      <c r="E44" s="4">
        <v>43191.0</v>
      </c>
      <c r="F44" s="2" t="s">
        <v>39</v>
      </c>
      <c r="G44" s="2">
        <v>5671.0</v>
      </c>
      <c r="H44" s="2">
        <v>5383.0</v>
      </c>
      <c r="I44" s="2">
        <v>8303480.0</v>
      </c>
      <c r="J44" s="2">
        <v>165265.0</v>
      </c>
      <c r="K44" s="2">
        <v>29758.0</v>
      </c>
    </row>
    <row r="45">
      <c r="A45" s="18">
        <v>43191.0</v>
      </c>
      <c r="B45" s="17" t="s">
        <v>39</v>
      </c>
      <c r="C45" s="17">
        <v>5383.0</v>
      </c>
      <c r="E45" s="4">
        <v>43101.0</v>
      </c>
      <c r="F45" s="2" t="s">
        <v>39</v>
      </c>
      <c r="G45" s="2">
        <v>5341.0</v>
      </c>
      <c r="H45" s="2">
        <v>4646.0</v>
      </c>
      <c r="I45" s="2">
        <v>6862212.0</v>
      </c>
      <c r="J45" s="2">
        <v>138864.0</v>
      </c>
      <c r="K45" s="2">
        <v>24996.0</v>
      </c>
    </row>
    <row r="46">
      <c r="A46" s="18">
        <v>43405.0</v>
      </c>
      <c r="B46" s="17" t="s">
        <v>39</v>
      </c>
      <c r="C46" s="17">
        <v>6634.0</v>
      </c>
      <c r="E46" s="4">
        <v>43313.0</v>
      </c>
      <c r="F46" s="2" t="s">
        <v>39</v>
      </c>
      <c r="G46" s="2">
        <v>5671.0</v>
      </c>
      <c r="H46" s="2">
        <v>11421.0</v>
      </c>
      <c r="I46" s="2">
        <v>1.9327361E7</v>
      </c>
      <c r="J46" s="2">
        <v>214420.0</v>
      </c>
      <c r="K46" s="2">
        <v>38599.0</v>
      </c>
    </row>
    <row r="47">
      <c r="A47" s="18">
        <v>42887.0</v>
      </c>
      <c r="B47" s="17" t="s">
        <v>39</v>
      </c>
      <c r="C47" s="17">
        <v>7964.0</v>
      </c>
      <c r="E47" s="4">
        <v>42887.0</v>
      </c>
      <c r="F47" s="2" t="s">
        <v>39</v>
      </c>
      <c r="G47" s="2">
        <v>5341.0</v>
      </c>
      <c r="H47" s="2">
        <v>7964.0</v>
      </c>
      <c r="I47" s="2">
        <v>1.1956799E7</v>
      </c>
      <c r="J47" s="2">
        <v>190798.0</v>
      </c>
      <c r="K47" s="2">
        <v>34345.0</v>
      </c>
    </row>
    <row r="48">
      <c r="A48" s="18">
        <v>43160.0</v>
      </c>
      <c r="B48" s="17" t="s">
        <v>39</v>
      </c>
      <c r="C48" s="17">
        <v>6608.0</v>
      </c>
      <c r="E48" s="4">
        <v>43282.0</v>
      </c>
      <c r="F48" s="2" t="s">
        <v>39</v>
      </c>
      <c r="G48" s="2">
        <v>5671.0</v>
      </c>
      <c r="H48" s="2">
        <v>12694.0</v>
      </c>
      <c r="I48" s="2">
        <v>2.1369689E7</v>
      </c>
      <c r="J48" s="2">
        <v>243474.0</v>
      </c>
      <c r="K48" s="2">
        <v>43839.0</v>
      </c>
    </row>
    <row r="49">
      <c r="A49" s="18">
        <v>43435.0</v>
      </c>
      <c r="B49" s="17" t="s">
        <v>39</v>
      </c>
      <c r="C49" s="17">
        <v>9945.0</v>
      </c>
      <c r="E49" s="4">
        <v>43405.0</v>
      </c>
      <c r="F49" s="2" t="s">
        <v>39</v>
      </c>
      <c r="G49" s="2">
        <v>5671.0</v>
      </c>
      <c r="H49" s="2">
        <v>6634.0</v>
      </c>
      <c r="I49" s="2">
        <v>1.0482157E7</v>
      </c>
      <c r="J49" s="2">
        <v>171079.0</v>
      </c>
      <c r="K49" s="2">
        <v>30805.0</v>
      </c>
    </row>
    <row r="50">
      <c r="A50" s="18">
        <v>42948.0</v>
      </c>
      <c r="B50" s="17" t="s">
        <v>39</v>
      </c>
      <c r="C50" s="17">
        <v>7826.0</v>
      </c>
      <c r="E50" s="4">
        <v>42795.0</v>
      </c>
      <c r="F50" s="2" t="s">
        <v>39</v>
      </c>
      <c r="G50" s="2">
        <v>5341.0</v>
      </c>
      <c r="H50" s="2">
        <v>6286.0</v>
      </c>
      <c r="I50" s="2">
        <v>9382853.0</v>
      </c>
      <c r="J50" s="2">
        <v>150819.0</v>
      </c>
      <c r="K50" s="2">
        <v>27147.0</v>
      </c>
    </row>
    <row r="51">
      <c r="A51" s="18">
        <v>42856.0</v>
      </c>
      <c r="B51" s="17" t="s">
        <v>39</v>
      </c>
      <c r="C51" s="17">
        <v>6386.0</v>
      </c>
      <c r="E51" s="4">
        <v>43221.0</v>
      </c>
      <c r="F51" s="2" t="s">
        <v>39</v>
      </c>
      <c r="G51" s="2">
        <v>5671.0</v>
      </c>
      <c r="H51" s="2">
        <v>9203.0</v>
      </c>
      <c r="I51" s="2">
        <v>1.5512228E7</v>
      </c>
      <c r="J51" s="2">
        <v>197511.0</v>
      </c>
      <c r="K51" s="2">
        <v>35565.0</v>
      </c>
    </row>
    <row r="52">
      <c r="A52" s="18">
        <v>42917.0</v>
      </c>
      <c r="B52" s="17" t="s">
        <v>39</v>
      </c>
      <c r="C52" s="17">
        <v>8906.0</v>
      </c>
      <c r="E52" s="4">
        <v>43344.0</v>
      </c>
      <c r="F52" s="2" t="s">
        <v>39</v>
      </c>
      <c r="G52" s="2">
        <v>5671.0</v>
      </c>
      <c r="H52" s="2">
        <v>7419.0</v>
      </c>
      <c r="I52" s="2">
        <v>1.2028217E7</v>
      </c>
      <c r="J52" s="2">
        <v>184035.0</v>
      </c>
      <c r="K52" s="2">
        <v>33131.0</v>
      </c>
    </row>
    <row r="53">
      <c r="A53" s="18">
        <v>43252.0</v>
      </c>
      <c r="B53" s="17" t="s">
        <v>39</v>
      </c>
      <c r="C53" s="17">
        <v>11673.0</v>
      </c>
      <c r="E53" s="4">
        <v>43252.0</v>
      </c>
      <c r="F53" s="2" t="s">
        <v>39</v>
      </c>
      <c r="G53" s="2">
        <v>5671.0</v>
      </c>
      <c r="H53" s="2">
        <v>11673.0</v>
      </c>
      <c r="I53" s="2">
        <v>1.947916E7</v>
      </c>
      <c r="J53" s="2">
        <v>222972.0</v>
      </c>
      <c r="K53" s="2">
        <v>40133.0</v>
      </c>
    </row>
    <row r="54">
      <c r="A54" s="18">
        <v>42979.0</v>
      </c>
      <c r="B54" s="17" t="s">
        <v>39</v>
      </c>
      <c r="C54" s="17">
        <v>5691.0</v>
      </c>
      <c r="E54" s="4">
        <v>42826.0</v>
      </c>
      <c r="F54" s="2" t="s">
        <v>39</v>
      </c>
      <c r="G54" s="2">
        <v>5341.0</v>
      </c>
      <c r="H54" s="2">
        <v>5243.0</v>
      </c>
      <c r="I54" s="2">
        <v>7951866.0</v>
      </c>
      <c r="J54" s="2">
        <v>132070.0</v>
      </c>
      <c r="K54" s="2">
        <v>23774.0</v>
      </c>
    </row>
    <row r="55">
      <c r="A55" s="18">
        <v>43221.0</v>
      </c>
      <c r="B55" s="17" t="s">
        <v>39</v>
      </c>
      <c r="C55" s="17">
        <v>9203.0</v>
      </c>
      <c r="E55" s="4">
        <v>43009.0</v>
      </c>
      <c r="F55" s="2" t="s">
        <v>39</v>
      </c>
      <c r="G55" s="2">
        <v>5341.0</v>
      </c>
      <c r="H55" s="2">
        <v>5673.0</v>
      </c>
      <c r="I55" s="2">
        <v>8489341.0</v>
      </c>
      <c r="J55" s="2">
        <v>139489.0</v>
      </c>
      <c r="K55" s="2">
        <v>25103.0</v>
      </c>
    </row>
    <row r="56">
      <c r="A56" s="18">
        <v>42795.0</v>
      </c>
      <c r="B56" s="17" t="s">
        <v>40</v>
      </c>
      <c r="C56" s="17">
        <v>8331.0</v>
      </c>
      <c r="E56" s="4">
        <v>43132.0</v>
      </c>
      <c r="F56" s="2" t="s">
        <v>39</v>
      </c>
      <c r="G56" s="2">
        <v>5671.0</v>
      </c>
      <c r="H56" s="2">
        <v>4558.0</v>
      </c>
      <c r="I56" s="2">
        <v>6881624.0</v>
      </c>
      <c r="J56" s="2">
        <v>147135.0</v>
      </c>
      <c r="K56" s="2">
        <v>26486.0</v>
      </c>
    </row>
    <row r="57">
      <c r="A57" s="18">
        <v>42826.0</v>
      </c>
      <c r="B57" s="17" t="s">
        <v>40</v>
      </c>
      <c r="C57" s="17">
        <v>7097.0</v>
      </c>
      <c r="E57" s="4">
        <v>43040.0</v>
      </c>
      <c r="F57" s="2" t="s">
        <v>39</v>
      </c>
      <c r="G57" s="2">
        <v>5341.0</v>
      </c>
      <c r="H57" s="2">
        <v>5366.0</v>
      </c>
      <c r="I57" s="2">
        <v>8127941.0</v>
      </c>
      <c r="J57" s="2">
        <v>117959.0</v>
      </c>
      <c r="K57" s="2">
        <v>21243.0</v>
      </c>
    </row>
    <row r="58">
      <c r="A58" s="18">
        <v>42736.0</v>
      </c>
      <c r="B58" s="17" t="s">
        <v>40</v>
      </c>
      <c r="C58" s="17">
        <v>5967.0</v>
      </c>
      <c r="E58" s="4">
        <v>43374.0</v>
      </c>
      <c r="F58" s="2" t="s">
        <v>40</v>
      </c>
      <c r="G58" s="2">
        <v>7637.0</v>
      </c>
      <c r="H58" s="2">
        <v>9262.0</v>
      </c>
      <c r="I58" s="2">
        <v>1.4616155E7</v>
      </c>
      <c r="J58" s="2">
        <v>245075.0</v>
      </c>
      <c r="K58" s="2">
        <v>44120.0</v>
      </c>
    </row>
    <row r="59">
      <c r="A59" s="18">
        <v>42767.0</v>
      </c>
      <c r="B59" s="17" t="s">
        <v>40</v>
      </c>
      <c r="C59" s="17">
        <v>6092.0</v>
      </c>
      <c r="E59" s="4">
        <v>42736.0</v>
      </c>
      <c r="F59" s="2" t="s">
        <v>40</v>
      </c>
      <c r="G59" s="2">
        <v>7204.0</v>
      </c>
      <c r="H59" s="2">
        <v>5967.0</v>
      </c>
      <c r="I59" s="2">
        <v>8977884.0</v>
      </c>
      <c r="J59" s="2">
        <v>153632.0</v>
      </c>
      <c r="K59" s="2">
        <v>27662.0</v>
      </c>
    </row>
    <row r="60">
      <c r="A60" s="18">
        <v>43313.0</v>
      </c>
      <c r="B60" s="17" t="s">
        <v>40</v>
      </c>
      <c r="C60" s="17">
        <v>14722.0</v>
      </c>
      <c r="E60" s="4">
        <v>42856.0</v>
      </c>
      <c r="F60" s="2" t="s">
        <v>40</v>
      </c>
      <c r="G60" s="2">
        <v>7204.0</v>
      </c>
      <c r="H60" s="2">
        <v>8339.0</v>
      </c>
      <c r="I60" s="2">
        <v>1.2438158E7</v>
      </c>
      <c r="J60" s="2">
        <v>209917.0</v>
      </c>
      <c r="K60" s="2">
        <v>37788.0</v>
      </c>
    </row>
    <row r="61">
      <c r="A61" s="18">
        <v>42887.0</v>
      </c>
      <c r="B61" s="17" t="s">
        <v>40</v>
      </c>
      <c r="C61" s="17">
        <v>10662.0</v>
      </c>
      <c r="E61" s="4">
        <v>43435.0</v>
      </c>
      <c r="F61" s="2" t="s">
        <v>40</v>
      </c>
      <c r="G61" s="2">
        <v>7637.0</v>
      </c>
      <c r="H61" s="2">
        <v>12957.0</v>
      </c>
      <c r="I61" s="2">
        <v>2.0992677E7</v>
      </c>
      <c r="J61" s="2">
        <v>299876.0</v>
      </c>
      <c r="K61" s="2">
        <v>53994.0</v>
      </c>
    </row>
    <row r="62">
      <c r="A62" s="18">
        <v>43070.0</v>
      </c>
      <c r="B62" s="17" t="s">
        <v>40</v>
      </c>
      <c r="C62" s="17">
        <v>10010.0</v>
      </c>
      <c r="E62" s="4">
        <v>42948.0</v>
      </c>
      <c r="F62" s="2" t="s">
        <v>40</v>
      </c>
      <c r="G62" s="2">
        <v>7204.0</v>
      </c>
      <c r="H62" s="2">
        <v>10631.0</v>
      </c>
      <c r="I62" s="2">
        <v>1.5747484E7</v>
      </c>
      <c r="J62" s="2">
        <v>257475.0</v>
      </c>
      <c r="K62" s="2">
        <v>46347.0</v>
      </c>
    </row>
    <row r="63">
      <c r="A63" s="18">
        <v>43009.0</v>
      </c>
      <c r="B63" s="17" t="s">
        <v>40</v>
      </c>
      <c r="C63" s="17">
        <v>7416.0</v>
      </c>
      <c r="E63" s="4">
        <v>42979.0</v>
      </c>
      <c r="F63" s="2" t="s">
        <v>40</v>
      </c>
      <c r="G63" s="2">
        <v>7204.0</v>
      </c>
      <c r="H63" s="2">
        <v>8016.0</v>
      </c>
      <c r="I63" s="2">
        <v>1.2004749E7</v>
      </c>
      <c r="J63" s="2">
        <v>221090.0</v>
      </c>
      <c r="K63" s="2">
        <v>39799.0</v>
      </c>
    </row>
    <row r="64">
      <c r="A64" s="18">
        <v>43040.0</v>
      </c>
      <c r="B64" s="17" t="s">
        <v>40</v>
      </c>
      <c r="C64" s="17">
        <v>7166.0</v>
      </c>
      <c r="E64" s="4">
        <v>43191.0</v>
      </c>
      <c r="F64" s="2" t="s">
        <v>40</v>
      </c>
      <c r="G64" s="2">
        <v>7637.0</v>
      </c>
      <c r="H64" s="2">
        <v>7125.0</v>
      </c>
      <c r="I64" s="2">
        <v>1.08854015E7</v>
      </c>
      <c r="J64" s="2">
        <v>226444.0</v>
      </c>
      <c r="K64" s="2">
        <v>40764.0</v>
      </c>
    </row>
    <row r="65">
      <c r="A65" s="18">
        <v>43282.0</v>
      </c>
      <c r="B65" s="17" t="s">
        <v>40</v>
      </c>
      <c r="C65" s="17">
        <v>17275.0</v>
      </c>
      <c r="E65" s="4">
        <v>43252.0</v>
      </c>
      <c r="F65" s="2" t="s">
        <v>40</v>
      </c>
      <c r="G65" s="2">
        <v>7637.0</v>
      </c>
      <c r="H65" s="2">
        <v>15238.0</v>
      </c>
      <c r="I65" s="2">
        <v>2.5428646E7</v>
      </c>
      <c r="J65" s="2">
        <v>300357.0</v>
      </c>
      <c r="K65" s="2">
        <v>54067.0</v>
      </c>
    </row>
    <row r="66">
      <c r="A66" s="18">
        <v>43101.0</v>
      </c>
      <c r="B66" s="17" t="s">
        <v>40</v>
      </c>
      <c r="C66" s="17">
        <v>5948.0</v>
      </c>
      <c r="E66" s="4">
        <v>43160.0</v>
      </c>
      <c r="F66" s="2" t="s">
        <v>40</v>
      </c>
      <c r="G66" s="2">
        <v>7637.0</v>
      </c>
      <c r="H66" s="2">
        <v>9086.0</v>
      </c>
      <c r="I66" s="2">
        <v>1.3961901E7</v>
      </c>
      <c r="J66" s="2">
        <v>228494.0</v>
      </c>
      <c r="K66" s="2">
        <v>41138.0</v>
      </c>
    </row>
    <row r="67">
      <c r="A67" s="18">
        <v>43191.0</v>
      </c>
      <c r="B67" s="17" t="s">
        <v>40</v>
      </c>
      <c r="C67" s="17">
        <v>7125.0</v>
      </c>
      <c r="E67" s="4">
        <v>43009.0</v>
      </c>
      <c r="F67" s="2" t="s">
        <v>40</v>
      </c>
      <c r="G67" s="2">
        <v>7204.0</v>
      </c>
      <c r="H67" s="2">
        <v>7416.0</v>
      </c>
      <c r="I67" s="2">
        <v>1.1068753E7</v>
      </c>
      <c r="J67" s="2">
        <v>215940.0</v>
      </c>
      <c r="K67" s="2">
        <v>38880.0</v>
      </c>
    </row>
    <row r="68">
      <c r="A68" s="18">
        <v>43374.0</v>
      </c>
      <c r="B68" s="17" t="s">
        <v>40</v>
      </c>
      <c r="C68" s="17">
        <v>9262.0</v>
      </c>
      <c r="E68" s="4">
        <v>42917.0</v>
      </c>
      <c r="F68" s="2" t="s">
        <v>40</v>
      </c>
      <c r="G68" s="2">
        <v>7204.0</v>
      </c>
      <c r="H68" s="2">
        <v>11935.0</v>
      </c>
      <c r="I68" s="2">
        <v>1.7751639E7</v>
      </c>
      <c r="J68" s="2">
        <v>263282.0</v>
      </c>
      <c r="K68" s="2">
        <v>47405.0</v>
      </c>
    </row>
    <row r="69">
      <c r="A69" s="18">
        <v>43132.0</v>
      </c>
      <c r="B69" s="17" t="s">
        <v>40</v>
      </c>
      <c r="C69" s="17">
        <v>6220.0</v>
      </c>
      <c r="E69" s="4">
        <v>43040.0</v>
      </c>
      <c r="F69" s="2" t="s">
        <v>40</v>
      </c>
      <c r="G69" s="2">
        <v>7204.0</v>
      </c>
      <c r="H69" s="2">
        <v>7166.0</v>
      </c>
      <c r="I69" s="2">
        <v>1.0780868E7</v>
      </c>
      <c r="J69" s="2">
        <v>210874.0</v>
      </c>
      <c r="K69" s="2">
        <v>37971.0</v>
      </c>
    </row>
    <row r="70">
      <c r="A70" s="18">
        <v>43160.0</v>
      </c>
      <c r="B70" s="17" t="s">
        <v>40</v>
      </c>
      <c r="C70" s="17">
        <v>9086.0</v>
      </c>
      <c r="E70" s="4">
        <v>43101.0</v>
      </c>
      <c r="F70" s="2" t="s">
        <v>40</v>
      </c>
      <c r="G70" s="2">
        <v>7204.0</v>
      </c>
      <c r="H70" s="2">
        <v>5948.0</v>
      </c>
      <c r="I70" s="2">
        <v>9019355.0</v>
      </c>
      <c r="J70" s="2">
        <v>195669.0</v>
      </c>
      <c r="K70" s="2">
        <v>35222.0</v>
      </c>
    </row>
    <row r="71">
      <c r="A71" s="18">
        <v>43405.0</v>
      </c>
      <c r="B71" s="17" t="s">
        <v>40</v>
      </c>
      <c r="C71" s="17">
        <v>8941.0</v>
      </c>
      <c r="E71" s="4">
        <v>43313.0</v>
      </c>
      <c r="F71" s="2" t="s">
        <v>40</v>
      </c>
      <c r="G71" s="2">
        <v>7637.0</v>
      </c>
      <c r="H71" s="2">
        <v>14722.0</v>
      </c>
      <c r="I71" s="2">
        <v>2.4357027E7</v>
      </c>
      <c r="J71" s="2">
        <v>313637.0</v>
      </c>
      <c r="K71" s="2">
        <v>56460.0</v>
      </c>
    </row>
    <row r="72">
      <c r="A72" s="18">
        <v>42979.0</v>
      </c>
      <c r="B72" s="17" t="s">
        <v>40</v>
      </c>
      <c r="C72" s="17">
        <v>8016.0</v>
      </c>
      <c r="E72" s="4">
        <v>43132.0</v>
      </c>
      <c r="F72" s="2" t="s">
        <v>40</v>
      </c>
      <c r="G72" s="2">
        <v>7637.0</v>
      </c>
      <c r="H72" s="2">
        <v>6220.0</v>
      </c>
      <c r="I72" s="2">
        <v>9461015.5</v>
      </c>
      <c r="J72" s="2">
        <v>187543.0</v>
      </c>
      <c r="K72" s="2">
        <v>33772.0</v>
      </c>
    </row>
    <row r="73">
      <c r="A73" s="18">
        <v>43252.0</v>
      </c>
      <c r="B73" s="17" t="s">
        <v>40</v>
      </c>
      <c r="C73" s="17">
        <v>15238.0</v>
      </c>
      <c r="E73" s="4">
        <v>43221.0</v>
      </c>
      <c r="F73" s="2" t="s">
        <v>40</v>
      </c>
      <c r="G73" s="2">
        <v>7637.0</v>
      </c>
      <c r="H73" s="2">
        <v>12648.0</v>
      </c>
      <c r="I73" s="2">
        <v>2.0788942E7</v>
      </c>
      <c r="J73" s="2">
        <v>233534.0</v>
      </c>
      <c r="K73" s="2">
        <v>42051.0</v>
      </c>
    </row>
    <row r="74">
      <c r="A74" s="18">
        <v>42856.0</v>
      </c>
      <c r="B74" s="17" t="s">
        <v>40</v>
      </c>
      <c r="C74" s="17">
        <v>8339.0</v>
      </c>
      <c r="E74" s="4">
        <v>43344.0</v>
      </c>
      <c r="F74" s="2" t="s">
        <v>40</v>
      </c>
      <c r="G74" s="2">
        <v>7637.0</v>
      </c>
      <c r="H74" s="2">
        <v>9967.0</v>
      </c>
      <c r="I74" s="2">
        <v>1.5806896E7</v>
      </c>
      <c r="J74" s="2">
        <v>246134.0</v>
      </c>
      <c r="K74" s="2">
        <v>44315.0</v>
      </c>
    </row>
    <row r="75">
      <c r="A75" s="18">
        <v>43435.0</v>
      </c>
      <c r="B75" s="17" t="s">
        <v>40</v>
      </c>
      <c r="C75" s="17">
        <v>12957.0</v>
      </c>
      <c r="E75" s="4">
        <v>42826.0</v>
      </c>
      <c r="F75" s="2" t="s">
        <v>40</v>
      </c>
      <c r="G75" s="2">
        <v>7204.0</v>
      </c>
      <c r="H75" s="2">
        <v>7097.0</v>
      </c>
      <c r="I75" s="2">
        <v>1.0671773E7</v>
      </c>
      <c r="J75" s="2">
        <v>190740.0</v>
      </c>
      <c r="K75" s="2">
        <v>34339.0</v>
      </c>
    </row>
    <row r="76">
      <c r="A76" s="18">
        <v>43221.0</v>
      </c>
      <c r="B76" s="17" t="s">
        <v>40</v>
      </c>
      <c r="C76" s="17">
        <v>12648.0</v>
      </c>
      <c r="E76" s="4">
        <v>42767.0</v>
      </c>
      <c r="F76" s="2" t="s">
        <v>40</v>
      </c>
      <c r="G76" s="2">
        <v>7204.0</v>
      </c>
      <c r="H76" s="2">
        <v>6092.0</v>
      </c>
      <c r="I76" s="2">
        <v>8917368.0</v>
      </c>
      <c r="J76" s="2">
        <v>167979.0</v>
      </c>
      <c r="K76" s="2">
        <v>30248.0</v>
      </c>
    </row>
    <row r="77">
      <c r="A77" s="18">
        <v>43344.0</v>
      </c>
      <c r="B77" s="17" t="s">
        <v>40</v>
      </c>
      <c r="C77" s="17">
        <v>9967.0</v>
      </c>
      <c r="E77" s="4">
        <v>43282.0</v>
      </c>
      <c r="F77" s="2" t="s">
        <v>40</v>
      </c>
      <c r="G77" s="2">
        <v>7637.0</v>
      </c>
      <c r="H77" s="2">
        <v>17275.0</v>
      </c>
      <c r="I77" s="2">
        <v>2.8445382E7</v>
      </c>
      <c r="J77" s="2">
        <v>318491.0</v>
      </c>
      <c r="K77" s="2">
        <v>57341.0</v>
      </c>
    </row>
    <row r="78">
      <c r="A78" s="18">
        <v>42917.0</v>
      </c>
      <c r="B78" s="17" t="s">
        <v>40</v>
      </c>
      <c r="C78" s="17">
        <v>11935.0</v>
      </c>
      <c r="E78" s="4">
        <v>42795.0</v>
      </c>
      <c r="F78" s="2" t="s">
        <v>40</v>
      </c>
      <c r="G78" s="2">
        <v>7204.0</v>
      </c>
      <c r="H78" s="2">
        <v>8331.0</v>
      </c>
      <c r="I78" s="2">
        <v>1.2389364E7</v>
      </c>
      <c r="J78" s="2">
        <v>207950.0</v>
      </c>
      <c r="K78" s="2">
        <v>37437.0</v>
      </c>
    </row>
    <row r="79">
      <c r="A79" s="18">
        <v>42948.0</v>
      </c>
      <c r="B79" s="17" t="s">
        <v>40</v>
      </c>
      <c r="C79" s="17">
        <v>10631.0</v>
      </c>
      <c r="E79" s="4">
        <v>43070.0</v>
      </c>
      <c r="F79" s="2" t="s">
        <v>40</v>
      </c>
      <c r="G79" s="2">
        <v>7204.0</v>
      </c>
      <c r="H79" s="2">
        <v>10010.0</v>
      </c>
      <c r="I79" s="2">
        <v>1.4810198E7</v>
      </c>
      <c r="J79" s="2">
        <v>238776.0</v>
      </c>
      <c r="K79" s="2">
        <v>42980.0</v>
      </c>
    </row>
    <row r="80">
      <c r="E80" s="4">
        <v>43405.0</v>
      </c>
      <c r="F80" s="2" t="s">
        <v>40</v>
      </c>
      <c r="G80" s="2">
        <v>7637.0</v>
      </c>
      <c r="H80" s="2">
        <v>8941.0</v>
      </c>
      <c r="I80" s="2">
        <v>1.4116092E7</v>
      </c>
      <c r="J80" s="2">
        <v>225364.0</v>
      </c>
      <c r="K80" s="2">
        <v>40566.0</v>
      </c>
    </row>
    <row r="81">
      <c r="E81" s="4">
        <v>42887.0</v>
      </c>
      <c r="F81" s="2" t="s">
        <v>40</v>
      </c>
      <c r="G81" s="2">
        <v>7204.0</v>
      </c>
      <c r="H81" s="2">
        <v>10662.0</v>
      </c>
      <c r="I81" s="2">
        <v>1.6008012E7</v>
      </c>
      <c r="J81" s="2">
        <v>266801.0</v>
      </c>
      <c r="K81" s="2">
        <v>48033.0</v>
      </c>
    </row>
  </sheetData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4.25"/>
    <col customWidth="1" min="3" max="4" width="15.13"/>
    <col customWidth="1" min="5" max="5" width="12.63"/>
    <col customWidth="1" min="6" max="7" width="21.0"/>
    <col customWidth="1" min="9" max="9" width="14.88"/>
    <col customWidth="1" min="10" max="10" width="13.5"/>
    <col customWidth="1" min="11" max="11" width="12.63"/>
    <col customWidth="1" min="12" max="12" width="14.25"/>
  </cols>
  <sheetData>
    <row r="1">
      <c r="A1" s="15"/>
    </row>
    <row r="2">
      <c r="A2" s="10" t="s">
        <v>64</v>
      </c>
      <c r="B2" s="10" t="s">
        <v>65</v>
      </c>
      <c r="C2" s="10" t="s">
        <v>66</v>
      </c>
      <c r="D2" s="10" t="s">
        <v>67</v>
      </c>
      <c r="E2" s="10" t="s">
        <v>68</v>
      </c>
      <c r="F2" s="10" t="s">
        <v>69</v>
      </c>
      <c r="G2" s="10" t="s">
        <v>9</v>
      </c>
      <c r="I2" s="10" t="s">
        <v>64</v>
      </c>
      <c r="J2" s="10" t="s">
        <v>70</v>
      </c>
      <c r="K2" s="10" t="s">
        <v>71</v>
      </c>
    </row>
    <row r="3">
      <c r="A3" s="10" t="s">
        <v>70</v>
      </c>
      <c r="B3" s="2">
        <v>971.0</v>
      </c>
      <c r="C3" s="2">
        <v>856.0</v>
      </c>
      <c r="D3" s="13">
        <v>0.8815653964984</v>
      </c>
      <c r="E3" s="2">
        <v>8046.51</v>
      </c>
      <c r="F3" s="2">
        <v>46.22</v>
      </c>
      <c r="G3" s="2">
        <v>44877.0</v>
      </c>
      <c r="I3" s="10" t="s">
        <v>65</v>
      </c>
      <c r="J3" s="2">
        <v>971.0</v>
      </c>
      <c r="K3" s="2">
        <v>15766.0</v>
      </c>
    </row>
    <row r="4">
      <c r="A4" s="10" t="s">
        <v>71</v>
      </c>
      <c r="B4" s="2">
        <v>15766.0</v>
      </c>
      <c r="C4" s="2">
        <v>13814.0</v>
      </c>
      <c r="D4" s="13">
        <v>0.8761892680451</v>
      </c>
      <c r="E4" s="2">
        <v>7985.35</v>
      </c>
      <c r="F4" s="2">
        <v>29.43</v>
      </c>
      <c r="G4" s="2">
        <v>463931.0</v>
      </c>
      <c r="I4" s="10" t="s">
        <v>66</v>
      </c>
      <c r="J4" s="2">
        <v>856.0</v>
      </c>
      <c r="K4" s="2">
        <v>13814.0</v>
      </c>
    </row>
    <row r="5">
      <c r="A5" s="15"/>
    </row>
    <row r="6">
      <c r="A6" s="15"/>
    </row>
    <row r="7">
      <c r="A7" s="10" t="s">
        <v>64</v>
      </c>
      <c r="B7" s="10" t="s">
        <v>72</v>
      </c>
      <c r="C7" s="10" t="s">
        <v>15</v>
      </c>
      <c r="D7" s="10" t="s">
        <v>73</v>
      </c>
      <c r="E7" s="10" t="s">
        <v>67</v>
      </c>
      <c r="F7" s="10" t="s">
        <v>68</v>
      </c>
      <c r="G7" s="10" t="s">
        <v>69</v>
      </c>
      <c r="I7" s="19" t="s">
        <v>72</v>
      </c>
      <c r="J7" s="19" t="s">
        <v>67</v>
      </c>
    </row>
    <row r="8">
      <c r="A8" s="10" t="s">
        <v>71</v>
      </c>
      <c r="B8" s="2">
        <v>2012.0</v>
      </c>
      <c r="C8" s="2">
        <v>1686.0</v>
      </c>
      <c r="D8" s="2">
        <v>1686.0</v>
      </c>
      <c r="E8" s="13">
        <v>1.0</v>
      </c>
      <c r="F8" s="2">
        <v>7998.54</v>
      </c>
      <c r="G8" s="2">
        <v>33.55</v>
      </c>
      <c r="I8" s="20">
        <v>2012.0</v>
      </c>
      <c r="J8" s="21">
        <v>1.0</v>
      </c>
    </row>
    <row r="9">
      <c r="A9" s="10" t="s">
        <v>71</v>
      </c>
      <c r="B9" s="2">
        <v>2013.0</v>
      </c>
      <c r="C9" s="2">
        <v>2397.0</v>
      </c>
      <c r="D9" s="2">
        <v>2035.0</v>
      </c>
      <c r="E9" s="13">
        <v>0.8489778890279</v>
      </c>
      <c r="F9" s="2">
        <v>8045.48</v>
      </c>
      <c r="G9" s="2">
        <v>33.58</v>
      </c>
      <c r="I9" s="20">
        <v>2013.0</v>
      </c>
      <c r="J9" s="21">
        <v>0.8489778890279</v>
      </c>
    </row>
    <row r="10">
      <c r="A10" s="10" t="s">
        <v>71</v>
      </c>
      <c r="B10" s="2">
        <v>2014.0</v>
      </c>
      <c r="C10" s="2">
        <v>2370.0</v>
      </c>
      <c r="D10" s="2">
        <v>1983.0</v>
      </c>
      <c r="E10" s="13">
        <v>0.8367088607594</v>
      </c>
      <c r="F10" s="2">
        <v>7850.49</v>
      </c>
      <c r="G10" s="2">
        <v>33.42</v>
      </c>
      <c r="I10" s="20">
        <v>2014.0</v>
      </c>
      <c r="J10" s="21">
        <v>0.8367088607594</v>
      </c>
    </row>
    <row r="11">
      <c r="A11" s="10" t="s">
        <v>71</v>
      </c>
      <c r="B11" s="2">
        <v>2015.0</v>
      </c>
      <c r="C11" s="2">
        <v>2331.0</v>
      </c>
      <c r="D11" s="2">
        <v>1927.0</v>
      </c>
      <c r="E11" s="13">
        <v>0.8266838266838</v>
      </c>
      <c r="F11" s="2">
        <v>8177.79</v>
      </c>
      <c r="G11" s="2">
        <v>32.91</v>
      </c>
      <c r="I11" s="20">
        <v>2015.0</v>
      </c>
      <c r="J11" s="21">
        <v>0.8266838266838</v>
      </c>
    </row>
    <row r="12">
      <c r="A12" s="10" t="s">
        <v>71</v>
      </c>
      <c r="B12" s="2">
        <v>2016.0</v>
      </c>
      <c r="C12" s="2">
        <v>2456.0</v>
      </c>
      <c r="D12" s="2">
        <v>2066.0</v>
      </c>
      <c r="E12" s="13">
        <v>0.8412052117263</v>
      </c>
      <c r="F12" s="2">
        <v>8058.06</v>
      </c>
      <c r="G12" s="2">
        <v>34.21</v>
      </c>
      <c r="I12" s="20">
        <v>2016.0</v>
      </c>
      <c r="J12" s="21">
        <v>0.8412052117263</v>
      </c>
    </row>
    <row r="13">
      <c r="A13" s="10" t="s">
        <v>71</v>
      </c>
      <c r="B13" s="2">
        <v>2017.0</v>
      </c>
      <c r="C13" s="2">
        <v>2487.0</v>
      </c>
      <c r="D13" s="2">
        <v>2122.0</v>
      </c>
      <c r="E13" s="13">
        <v>0.8532368315239</v>
      </c>
      <c r="F13" s="2">
        <v>7776.88</v>
      </c>
      <c r="G13" s="2">
        <v>26.13</v>
      </c>
      <c r="I13" s="20">
        <v>2017.0</v>
      </c>
      <c r="J13" s="21">
        <v>0.8532368315239</v>
      </c>
    </row>
    <row r="14">
      <c r="A14" s="10" t="s">
        <v>71</v>
      </c>
      <c r="B14" s="2">
        <v>2018.0</v>
      </c>
      <c r="C14" s="2">
        <v>2039.0</v>
      </c>
      <c r="D14" s="2">
        <v>1995.0</v>
      </c>
      <c r="E14" s="13">
        <v>0.9784207945071</v>
      </c>
      <c r="F14" s="2">
        <v>8007.18</v>
      </c>
      <c r="G14" s="2">
        <v>10.77</v>
      </c>
      <c r="I14" s="20">
        <v>2018.0</v>
      </c>
      <c r="J14" s="21">
        <v>0.9784207945071</v>
      </c>
    </row>
    <row r="15">
      <c r="A15" s="15"/>
    </row>
    <row r="16">
      <c r="A16" s="10" t="s">
        <v>64</v>
      </c>
      <c r="B16" s="10" t="s">
        <v>57</v>
      </c>
      <c r="C16" s="10" t="s">
        <v>15</v>
      </c>
      <c r="D16" s="10" t="s">
        <v>73</v>
      </c>
      <c r="E16" s="10" t="s">
        <v>67</v>
      </c>
      <c r="F16" s="10" t="s">
        <v>68</v>
      </c>
      <c r="G16" s="10" t="s">
        <v>69</v>
      </c>
      <c r="I16" s="10" t="s">
        <v>64</v>
      </c>
      <c r="J16" s="10" t="s">
        <v>57</v>
      </c>
      <c r="K16" s="10" t="s">
        <v>67</v>
      </c>
      <c r="L16" s="19" t="s">
        <v>64</v>
      </c>
      <c r="M16" s="19" t="s">
        <v>57</v>
      </c>
      <c r="N16" s="19" t="s">
        <v>67</v>
      </c>
    </row>
    <row r="17">
      <c r="A17" s="10" t="s">
        <v>70</v>
      </c>
      <c r="B17" s="2" t="s">
        <v>41</v>
      </c>
      <c r="C17" s="2">
        <v>208.0</v>
      </c>
      <c r="D17" s="2">
        <v>179.0</v>
      </c>
      <c r="E17" s="13">
        <v>0.8605769230769</v>
      </c>
      <c r="F17" s="2">
        <v>10657.46</v>
      </c>
      <c r="G17" s="2">
        <v>45.7</v>
      </c>
      <c r="I17" s="10" t="s">
        <v>70</v>
      </c>
      <c r="J17" s="2" t="s">
        <v>41</v>
      </c>
      <c r="K17" s="13">
        <v>0.8605769230769</v>
      </c>
      <c r="L17" s="19" t="s">
        <v>71</v>
      </c>
      <c r="M17" s="22" t="s">
        <v>41</v>
      </c>
      <c r="N17" s="21">
        <v>0.8696057125116</v>
      </c>
    </row>
    <row r="18">
      <c r="A18" s="10" t="s">
        <v>71</v>
      </c>
      <c r="B18" s="2" t="s">
        <v>41</v>
      </c>
      <c r="C18" s="2">
        <v>3221.0</v>
      </c>
      <c r="D18" s="2">
        <v>2801.0</v>
      </c>
      <c r="E18" s="13">
        <v>0.8696057125116</v>
      </c>
      <c r="F18" s="2">
        <v>10673.67</v>
      </c>
      <c r="G18" s="2">
        <v>29.63</v>
      </c>
      <c r="I18" s="10" t="s">
        <v>70</v>
      </c>
      <c r="J18" s="2" t="s">
        <v>39</v>
      </c>
      <c r="K18" s="13">
        <v>0.8848484848484</v>
      </c>
      <c r="L18" s="19" t="s">
        <v>71</v>
      </c>
      <c r="M18" s="22" t="s">
        <v>39</v>
      </c>
      <c r="N18" s="21">
        <v>0.872870249017</v>
      </c>
    </row>
    <row r="19">
      <c r="A19" s="10" t="s">
        <v>70</v>
      </c>
      <c r="B19" s="2" t="s">
        <v>39</v>
      </c>
      <c r="C19" s="2">
        <v>330.0</v>
      </c>
      <c r="D19" s="2">
        <v>292.0</v>
      </c>
      <c r="E19" s="13">
        <v>0.8848484848484</v>
      </c>
      <c r="F19" s="2">
        <v>7766.35</v>
      </c>
      <c r="G19" s="2">
        <v>47.52</v>
      </c>
      <c r="I19" s="10" t="s">
        <v>70</v>
      </c>
      <c r="J19" s="2" t="s">
        <v>40</v>
      </c>
      <c r="K19" s="13">
        <v>0.8891454965357</v>
      </c>
      <c r="L19" s="19" t="s">
        <v>71</v>
      </c>
      <c r="M19" s="22" t="s">
        <v>40</v>
      </c>
      <c r="N19" s="21">
        <v>0.8815935591338</v>
      </c>
    </row>
    <row r="20">
      <c r="A20" s="10" t="s">
        <v>71</v>
      </c>
      <c r="B20" s="2" t="s">
        <v>39</v>
      </c>
      <c r="C20" s="2">
        <v>5341.0</v>
      </c>
      <c r="D20" s="2">
        <v>4662.0</v>
      </c>
      <c r="E20" s="13">
        <v>0.872870249017</v>
      </c>
      <c r="F20" s="2">
        <v>8062.87</v>
      </c>
      <c r="G20" s="2">
        <v>29.42</v>
      </c>
    </row>
    <row r="21">
      <c r="A21" s="10" t="s">
        <v>70</v>
      </c>
      <c r="B21" s="2" t="s">
        <v>40</v>
      </c>
      <c r="C21" s="2">
        <v>433.0</v>
      </c>
      <c r="D21" s="2">
        <v>385.0</v>
      </c>
      <c r="E21" s="13">
        <v>0.8891454965357</v>
      </c>
      <c r="F21" s="2">
        <v>7005.8</v>
      </c>
      <c r="G21" s="2">
        <v>45.47</v>
      </c>
    </row>
    <row r="22">
      <c r="A22" s="10" t="s">
        <v>71</v>
      </c>
      <c r="B22" s="2" t="s">
        <v>40</v>
      </c>
      <c r="C22" s="2">
        <v>7204.0</v>
      </c>
      <c r="D22" s="2">
        <v>6351.0</v>
      </c>
      <c r="E22" s="13">
        <v>0.8815935591338</v>
      </c>
      <c r="F22" s="2">
        <v>6725.89</v>
      </c>
      <c r="G22" s="2">
        <v>29.34</v>
      </c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</sheetData>
  <drawing r:id="rId1"/>
</worksheet>
</file>